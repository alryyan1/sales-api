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المخزون الإفتتاحي" sheetId="1" r:id="rId1"/>
  </sheets>
  <calcPr fullCalcOnLoad="1" calcId="124519"/>
</workbook>
</file>

<file path=xl/sharedStrings.xml><?xml version="1.0" encoding="utf-8"?>
<sst xmlns="http://schemas.openxmlformats.org/spreadsheetml/2006/main" uniqueCount="213" count="213">
  <si>
    <t>تقرير المخزون الافتتاحي</t>
  </si>
  <si>
    <t>م</t>
  </si>
  <si>
    <t>اسم الصنف</t>
  </si>
  <si>
    <t>تاريخ الصلاحية</t>
  </si>
  <si>
    <t>الكمية</t>
  </si>
  <si>
    <t>البونص</t>
  </si>
  <si>
    <t>الوحدة</t>
  </si>
  <si>
    <t>السعر</t>
  </si>
  <si>
    <t>الإجمالي</t>
  </si>
  <si>
    <t>Technoplast (zinc oxide plaster)</t>
  </si>
  <si>
    <t>28/10/2030</t>
  </si>
  <si>
    <t>Box</t>
  </si>
  <si>
    <t>Techno Gauze Bandage (7.5cm*4.5m) 12Ro</t>
  </si>
  <si>
    <t>29/10/2030</t>
  </si>
  <si>
    <t>Techno Crep Bandage (7.5cm*4.5m) 12Rol</t>
  </si>
  <si>
    <t>COVA-H (valsartan+hydrochlorothiazide8</t>
  </si>
  <si>
    <t>01/02/2027</t>
  </si>
  <si>
    <t>COVAM PLUS (amilo+valsartan+HCT10+160+</t>
  </si>
  <si>
    <t>30/03/2029</t>
  </si>
  <si>
    <t>Nimixia (rifaximin) 200mg</t>
  </si>
  <si>
    <t>30/09/2027</t>
  </si>
  <si>
    <t>Treviamet (sitaglip&amp;metfo) 50/1000mg</t>
  </si>
  <si>
    <t>30/01/2027</t>
  </si>
  <si>
    <t>Clonem (Clotrimazole) Cream</t>
  </si>
  <si>
    <t>28/02/2028</t>
  </si>
  <si>
    <t>Tube</t>
  </si>
  <si>
    <t>Methylprednisolone 1g inj</t>
  </si>
  <si>
    <t>Vial</t>
  </si>
  <si>
    <t>Vancomycin inj 1g</t>
  </si>
  <si>
    <t>30/05/2027</t>
  </si>
  <si>
    <t>Zinco_king syp</t>
  </si>
  <si>
    <t>30/08/2027</t>
  </si>
  <si>
    <t>Bottl</t>
  </si>
  <si>
    <t>PEPRASOL (pantoprazole 40mg) inj</t>
  </si>
  <si>
    <t>30/08/2028</t>
  </si>
  <si>
    <t>CD ONDAN 8mg 10tabs</t>
  </si>
  <si>
    <t>Rotadansetron 8mg (Ondansetron) inj</t>
  </si>
  <si>
    <t>30/10/2027</t>
  </si>
  <si>
    <t>Progitara 75 mg (pregabalin)</t>
  </si>
  <si>
    <t>31/12/2027</t>
  </si>
  <si>
    <t>Valsartan Extra 10/160 mg Tabs</t>
  </si>
  <si>
    <t>30/12/2028</t>
  </si>
  <si>
    <t>CD- IVY cuf syp</t>
  </si>
  <si>
    <t>30/06/2028</t>
  </si>
  <si>
    <t>Cefix 100 susp</t>
  </si>
  <si>
    <t>Cefodox 50 mg syrup</t>
  </si>
  <si>
    <t>30/07/2027</t>
  </si>
  <si>
    <t>Conventin 400mg cap</t>
  </si>
  <si>
    <t>30/04/2028</t>
  </si>
  <si>
    <t>Virecta (sildenafil) 100mg</t>
  </si>
  <si>
    <t>Amiclav 228 Susp</t>
  </si>
  <si>
    <t>Amilyn DM syp</t>
  </si>
  <si>
    <t>30/12/2027</t>
  </si>
  <si>
    <t>Amilyn Expectorant syrub</t>
  </si>
  <si>
    <t>AMIXIM 100mg susp</t>
  </si>
  <si>
    <t>30/06/2027</t>
  </si>
  <si>
    <t>Dextrose 5% Drip</t>
  </si>
  <si>
    <t>30/12/2029</t>
  </si>
  <si>
    <t>Ringer Lactate drip</t>
  </si>
  <si>
    <t>Promethazine (antihistamine 25mg) 10*10</t>
  </si>
  <si>
    <t>30/06/2030</t>
  </si>
  <si>
    <t>CALCI-PURE tabs</t>
  </si>
  <si>
    <t>T4-Thyro 50 mcg 100tab</t>
  </si>
  <si>
    <t>30/11/2026</t>
  </si>
  <si>
    <t>T4-Thyro 100 mcg 100tab</t>
  </si>
  <si>
    <t>THERMODOL (paracetamol) inf</t>
  </si>
  <si>
    <t>NAVOPROXIN PLUS 20T</t>
  </si>
  <si>
    <t>01/04/2029</t>
  </si>
  <si>
    <t>box</t>
  </si>
  <si>
    <t>SOLVEX SYRP</t>
  </si>
  <si>
    <t>01/12/2028</t>
  </si>
  <si>
    <t>bottl</t>
  </si>
  <si>
    <t>الذهب P-allaxin</t>
  </si>
  <si>
    <t>01/08/2028</t>
  </si>
  <si>
    <t>Amigel Tabs amipharma</t>
  </si>
  <si>
    <t>01/01/2027</t>
  </si>
  <si>
    <t>BURLY BONE TABLETS TAHA</t>
  </si>
  <si>
    <t>01/01/2028</t>
  </si>
  <si>
    <t>CALSYD 500MG(60 AB) Salsabila</t>
  </si>
  <si>
    <t>01/05/2027</t>
  </si>
  <si>
    <t>CANULA 16 SHAINA</t>
  </si>
  <si>
    <t>Canula 18 SHAINA ALWALEEF</t>
  </si>
  <si>
    <t>01/01/2029</t>
  </si>
  <si>
    <t>unit</t>
  </si>
  <si>
    <t>CANULA 20</t>
  </si>
  <si>
    <t>CANULA 26</t>
  </si>
  <si>
    <t>شاش سكري Conferming bandage 7</t>
  </si>
  <si>
    <t>01/01/2030</t>
  </si>
  <si>
    <t>Dozen</t>
  </si>
  <si>
    <t>GACET 125 mg (Paracetamol) 10su</t>
  </si>
  <si>
    <t>AVAZIR (tobramycin) EYE DROP</t>
  </si>
  <si>
    <t>01/11/2028</t>
  </si>
  <si>
    <t>CD - Fucin B cream 15 g</t>
  </si>
  <si>
    <t>CD AMLOVAN 5/160/12.5 MG</t>
  </si>
  <si>
    <t>01/11/2027</t>
  </si>
  <si>
    <t>CD OMID PLUS 40/1100MG 14CAP</t>
  </si>
  <si>
    <t>01/07/2028</t>
  </si>
  <si>
    <t>CD ZITHRO SYRP 200MG/5ML</t>
  </si>
  <si>
    <t>01/04/2028</t>
  </si>
  <si>
    <t>Hydrogen Peroxide 15% pack of 12</t>
  </si>
  <si>
    <t>03/10/2028</t>
  </si>
  <si>
    <t>Clopifar 75 mg (clopidogrel) 30T</t>
  </si>
  <si>
    <t>SYRING 10 ML 50PCS ALWALEEF</t>
  </si>
  <si>
    <t>ZADITOFIN SYRP (KETOTIFEN)</t>
  </si>
  <si>
    <t>01/10/2028</t>
  </si>
  <si>
    <t>ZINC SYRP 10MG/ 60ML</t>
  </si>
  <si>
    <t>01/12/2027</t>
  </si>
  <si>
    <t>ARTISUNATE 120 MG INJ</t>
  </si>
  <si>
    <t>vials</t>
  </si>
  <si>
    <t>ARTISUNATE 60 MG INJ</t>
  </si>
  <si>
    <t>Honey Care Oint</t>
  </si>
  <si>
    <t>01/02/2028</t>
  </si>
  <si>
    <t>KX MED Plaster</t>
  </si>
  <si>
    <t>VITAMIN D 50.000</t>
  </si>
  <si>
    <t>EUTHYROX 25 MG 100T</t>
  </si>
  <si>
    <t>01/09/2029</t>
  </si>
  <si>
    <t>GAPTIN 100MG 20T</t>
  </si>
  <si>
    <t>GAPTIN 400 MG 20T</t>
  </si>
  <si>
    <t>كمامات Face Mask</t>
  </si>
  <si>
    <t>GALVENT 50/500 MG 30T (vildaglip)</t>
  </si>
  <si>
    <t>GALVENT 50/850 MG 30T (vildaglip)</t>
  </si>
  <si>
    <t>latex catheter 2 way 18 ALWALEEF</t>
  </si>
  <si>
    <t>latex catheter 2 way 22 ALWALEEF</t>
  </si>
  <si>
    <t>latex catheter 2 way 24 ALWALEEF</t>
  </si>
  <si>
    <t>latex catheter 3 way 18 ALWALEEF</t>
  </si>
  <si>
    <t>latex catheter 3 way 20 ALWALEEF</t>
  </si>
  <si>
    <t>Latex Follly Catheter 2way size</t>
  </si>
  <si>
    <t>Latex Folly Cathete 2way size 6</t>
  </si>
  <si>
    <t>27/06/2026</t>
  </si>
  <si>
    <t>latex folly catheter 2 way size</t>
  </si>
  <si>
    <t>latex folly catheter 3 way 22 AL</t>
  </si>
  <si>
    <t>Lumiart 20mg/120mg ALWALEEF</t>
  </si>
  <si>
    <t>ALWALEEF لصقة كانيولا pharmapar</t>
  </si>
  <si>
    <t>Silicon catheter 2 way size 12</t>
  </si>
  <si>
    <t>Silicon Catheter 2 way size 6</t>
  </si>
  <si>
    <t>Silicon Catheter 2way size 10</t>
  </si>
  <si>
    <t>Surgical gloves 8</t>
  </si>
  <si>
    <t>خيوط Vicryl cutting needle (4/0)</t>
  </si>
  <si>
    <t>CIPTADENT SOFT</t>
  </si>
  <si>
    <t>CIPTADENT MEDIUM</t>
  </si>
  <si>
    <t>فرش أطفال KODOMO</t>
  </si>
  <si>
    <t>Vitamin C 1000 eff GERMAN 12PCS</t>
  </si>
  <si>
    <t>Ceftirol (Ceftriaxone) 1 g inj +</t>
  </si>
  <si>
    <t>01/02/2029</t>
  </si>
  <si>
    <t>Amps</t>
  </si>
  <si>
    <t>D N S SHAINA</t>
  </si>
  <si>
    <t>K-permangate Aisha</t>
  </si>
  <si>
    <t>Novamentin 1gtab (amoxicillin+cl</t>
  </si>
  <si>
    <t>Novamentin 228 mg syrp Atlal</t>
  </si>
  <si>
    <t>Novamentin 625 mg 14 tab Atlal</t>
  </si>
  <si>
    <t>01/06/2027</t>
  </si>
  <si>
    <t>Panderm Oint kambal</t>
  </si>
  <si>
    <t>01/12/2026</t>
  </si>
  <si>
    <t>Pomirja ( analgesic ) gel -</t>
  </si>
  <si>
    <t>POTCIT Powdr boxof12 Humavit</t>
  </si>
  <si>
    <t>01/09/2027</t>
  </si>
  <si>
    <t>Povidon Iodine 10% pack of 12 Ai</t>
  </si>
  <si>
    <t>DICLOCARE INJ</t>
  </si>
  <si>
    <t>Erythromycin 250mg tab 10st</t>
  </si>
  <si>
    <t>QUINOSPAN 500 MG (CIPROFLOXACIN)</t>
  </si>
  <si>
    <t>03/09/2027</t>
  </si>
  <si>
    <t>Chromic catgut round (2/0)</t>
  </si>
  <si>
    <t>CITROVENT 10 MG (CETRIZIN )100T</t>
  </si>
  <si>
    <t>FERPOD 100MG SUSP</t>
  </si>
  <si>
    <t>Prodotil 200 mg cap (cefpodoxim</t>
  </si>
  <si>
    <t>Ferpod 50mg syp</t>
  </si>
  <si>
    <t>HAEMATIN SYRP</t>
  </si>
  <si>
    <t>Vitawel cap ALWALEEF</t>
  </si>
  <si>
    <t>AMIFORMIN 850MG 50T</t>
  </si>
  <si>
    <t>AMIKACIN 500MG INJ BOX OF 50AMP</t>
  </si>
  <si>
    <t>AMLOVENT 5 MG 30T</t>
  </si>
  <si>
    <t>Atornova 20mg (Atorvastatin) 30T</t>
  </si>
  <si>
    <t>01/08/2027</t>
  </si>
  <si>
    <t>ALWALEEF لبن Celia 1</t>
  </si>
  <si>
    <t>01/07/2027</t>
  </si>
  <si>
    <t>ALWALEEF لبن Celia 2</t>
  </si>
  <si>
    <t>Domivent 10mg tab 30t ALWALEEF</t>
  </si>
  <si>
    <t>01/09/2028</t>
  </si>
  <si>
    <t>Domivent susp (domperidone )100m</t>
  </si>
  <si>
    <t>01/05/2028</t>
  </si>
  <si>
    <t>Esovent 20mg 28T</t>
  </si>
  <si>
    <t>Esovent 40 mg 28T</t>
  </si>
  <si>
    <t>Losarol 50 H 30T (Losartan + H )</t>
  </si>
  <si>
    <t>05/05/2028</t>
  </si>
  <si>
    <t>Losarol 50 mg 30T ( losartan ) A</t>
  </si>
  <si>
    <t>Taxovent 500mg inj (cefotaxim )</t>
  </si>
  <si>
    <t>Cardosyr 4mg (doxazosin)</t>
  </si>
  <si>
    <t>01/10/2029</t>
  </si>
  <si>
    <t>Dolphin 12.5 mg (diclofenac Na )</t>
  </si>
  <si>
    <t>Dolphin 25 mg (diclofenac Na) 5</t>
  </si>
  <si>
    <t>Ferron drop ( ferrous +folic aci</t>
  </si>
  <si>
    <t>16/06/2027</t>
  </si>
  <si>
    <t>Flancogyl 250 mg(metronidazole )</t>
  </si>
  <si>
    <t>01/08/2029</t>
  </si>
  <si>
    <t>Glimadel 2mg 30T shima</t>
  </si>
  <si>
    <t>Glimadel 4 mg 20T shima</t>
  </si>
  <si>
    <t>Glipra 3 mg (glimipride ) 30T AL</t>
  </si>
  <si>
    <t>18/08/2028</t>
  </si>
  <si>
    <t>NaHco3 drop 10 ml 24 pcs Aisha</t>
  </si>
  <si>
    <t>Nasal oxygen canula adult ALWALE</t>
  </si>
  <si>
    <t>Normal saline drop 10 ml 24pcs A</t>
  </si>
  <si>
    <t>Olive oil drop 10ml 24pcs Aisha</t>
  </si>
  <si>
    <t>25/10/2028</t>
  </si>
  <si>
    <t>Orphamol tab 2 strip ( orphenadr</t>
  </si>
  <si>
    <t>خيوط جر Silk cutting needle (2/0)</t>
  </si>
  <si>
    <t>STOPADOL cold &amp; flu 20T EVA</t>
  </si>
  <si>
    <t>STOPADOL EXTRA EVA</t>
  </si>
  <si>
    <t>THYRO 100 MG 100T</t>
  </si>
  <si>
    <t>01/11/2026</t>
  </si>
  <si>
    <t>THYRO 50 MG 100T</t>
  </si>
  <si>
    <t>water for inj 10ml Amanta</t>
  </si>
  <si>
    <t>XIDIN MOUTH WASH 200ML</t>
  </si>
  <si>
    <t>الإجمالي الكلي</t>
  </si>
</sst>
</file>

<file path=xl/styles.xml><?xml version="1.0" encoding="utf-8"?>
<styleSheet xmlns="http://schemas.openxmlformats.org/spreadsheetml/2006/main">
  <numFmts count="3">
    <numFmt numFmtId="0" formatCode="General"/>
    <numFmt numFmtId="3" formatCode="#,##0"/>
    <numFmt numFmtId="4" formatCode="#,##0.00"/>
  </numFmts>
  <fonts count="6">
    <font>
      <name val="Calibri"/>
      <sz val="11"/>
    </font>
    <font>
      <name val="Calibri"/>
      <b/>
      <sz val="18"/>
      <color rgb="FF1B365D"/>
    </font>
    <font>
      <name val="Calibri"/>
      <b/>
      <sz val="11"/>
      <color rgb="FFFFFFFF"/>
    </font>
    <font>
      <name val="Calibri"/>
      <sz val="11"/>
      <color rgb="FF000000"/>
    </font>
    <font>
      <name val="Calibri"/>
      <sz val="11"/>
      <color rgb="FF000000"/>
    </font>
    <font>
      <name val="Calibri"/>
      <b/>
      <sz val="12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2" fillId="2" borderId="1" xfId="0" applyAlignment="1">
      <alignment horizontal="center" vertical="center"/>
    </xf>
    <xf numFmtId="0" fontId="3" fillId="3" borderId="1" xfId="0" applyAlignment="1">
      <alignment horizontal="center" vertical="center"/>
    </xf>
    <xf numFmtId="0" fontId="3" fillId="3" borderId="1" xfId="0" applyAlignment="1">
      <alignment horizontal="left" vertical="center"/>
    </xf>
    <xf numFmtId="3" fontId="3" fillId="3" borderId="1" xfId="0" applyAlignment="1">
      <alignment horizontal="center" vertical="center"/>
    </xf>
    <xf numFmtId="4" fontId="3" fillId="3" borderId="1" xfId="0" applyAlignment="1">
      <alignment horizontal="right" vertical="center"/>
    </xf>
    <xf numFmtId="0" fontId="3" fillId="4" borderId="1" xfId="0" applyAlignment="1">
      <alignment horizontal="center" vertical="center"/>
    </xf>
    <xf numFmtId="0" fontId="3" fillId="4" borderId="1" xfId="0" applyAlignment="1">
      <alignment horizontal="left" vertical="center"/>
    </xf>
    <xf numFmtId="3" fontId="3" fillId="4" borderId="1" xfId="0" applyAlignment="1">
      <alignment horizontal="center" vertical="center"/>
    </xf>
    <xf numFmtId="4" fontId="3" fillId="4" borderId="1" xfId="0" applyAlignment="1">
      <alignment horizontal="right" vertical="center"/>
    </xf>
    <xf numFmtId="0" fontId="4" fillId="0" borderId="2" xfId="0" applyAlignment="1">
      <alignment vertical="bottom"/>
    </xf>
    <xf numFmtId="0" fontId="5" fillId="0" borderId="2" xfId="0" applyAlignment="1">
      <alignment horizontal="right" vertical="center"/>
    </xf>
    <xf numFmtId="3" fontId="5" fillId="0" borderId="2" xfId="0" applyAlignment="1">
      <alignment horizontal="center" vertical="center"/>
    </xf>
    <xf numFmtId="4" fontId="5" fillId="0" borderId="2" xfId="0" applyAlignment="1">
      <alignment horizontal="right"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142"/>
  <sheetViews>
    <sheetView workbookViewId="0" rightToLeft="1" topLeftCell="E84">
      <selection activeCell="F88" sqref="F88"/>
    </sheetView>
  </sheetViews>
  <sheetFormatPr defaultRowHeight="15.0" defaultColWidth="10"/>
  <cols>
    <col min="1" max="1" customWidth="1" width="12.0" style="0"/>
    <col min="2" max="2" customWidth="1" width="45.0" style="0"/>
    <col min="3" max="3" customWidth="1" width="17.0" style="0"/>
    <col min="4" max="4" customWidth="1" width="16.0" style="0"/>
    <col min="5" max="5" customWidth="1" width="12.0" style="0"/>
    <col min="6" max="6" customWidth="1" width="12.0" style="0"/>
    <col min="7" max="7" customWidth="1" width="12.0" style="0"/>
    <col min="8" max="8" customWidth="1" width="16.0" style="0"/>
  </cols>
  <sheetData>
    <row r="1" spans="8:8" ht="40.0" customHeight="1">
      <c r="A1" s="1" t="s">
        <v>0</v>
      </c>
    </row>
    <row r="3" spans="8:8" ht="25.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8:8" ht="20.0" customHeight="1">
      <c r="A4" s="3">
        <v>1.0</v>
      </c>
      <c r="B4" s="4" t="s">
        <v>9</v>
      </c>
      <c r="C4" s="3" t="s">
        <v>10</v>
      </c>
      <c r="D4" s="5">
        <v>30.0</v>
      </c>
      <c r="E4" s="5">
        <v>0.0</v>
      </c>
      <c r="F4" s="3" t="s">
        <v>11</v>
      </c>
      <c r="G4" s="6">
        <v>2600.0</v>
      </c>
      <c r="H4" s="6">
        <f>D4*G4</f>
        <v>78000.0</v>
      </c>
    </row>
    <row r="5" spans="8:8" ht="20.0" customHeight="1">
      <c r="A5" s="7">
        <v>2.0</v>
      </c>
      <c r="B5" s="8" t="s">
        <v>12</v>
      </c>
      <c r="C5" s="7" t="s">
        <v>13</v>
      </c>
      <c r="D5" s="9">
        <v>10.0</v>
      </c>
      <c r="E5" s="9">
        <v>0.0</v>
      </c>
      <c r="F5" s="7" t="s">
        <v>11</v>
      </c>
      <c r="G5" s="10">
        <v>3300.0</v>
      </c>
      <c r="H5" s="10">
        <f>D5*G5</f>
        <v>33000.0</v>
      </c>
    </row>
    <row r="6" spans="8:8" ht="20.0" customHeight="1">
      <c r="A6" s="3">
        <v>3.0</v>
      </c>
      <c r="B6" s="4" t="s">
        <v>14</v>
      </c>
      <c r="C6" s="3" t="s">
        <v>10</v>
      </c>
      <c r="D6" s="5">
        <v>4.0</v>
      </c>
      <c r="E6" s="5">
        <v>0.0</v>
      </c>
      <c r="F6" s="3" t="s">
        <v>11</v>
      </c>
      <c r="G6" s="6">
        <v>10000.0</v>
      </c>
      <c r="H6" s="6">
        <f>D6*G6</f>
        <v>40000.0</v>
      </c>
    </row>
    <row r="7" spans="8:8" ht="20.0" customHeight="1">
      <c r="A7" s="7">
        <v>4.0</v>
      </c>
      <c r="B7" s="8" t="s">
        <v>15</v>
      </c>
      <c r="C7" s="7" t="s">
        <v>16</v>
      </c>
      <c r="D7" s="9">
        <v>10.0</v>
      </c>
      <c r="E7" s="9">
        <v>0.0</v>
      </c>
      <c r="F7" s="7" t="s">
        <v>11</v>
      </c>
      <c r="G7" s="10">
        <v>8000.0</v>
      </c>
      <c r="H7" s="10">
        <f>D7*G7</f>
        <v>80000.0</v>
      </c>
    </row>
    <row r="8" spans="8:8" ht="20.0" customHeight="1">
      <c r="A8" s="3">
        <v>5.0</v>
      </c>
      <c r="B8" s="4" t="s">
        <v>17</v>
      </c>
      <c r="C8" s="3" t="s">
        <v>18</v>
      </c>
      <c r="D8" s="5">
        <v>10.0</v>
      </c>
      <c r="E8" s="5">
        <v>0.0</v>
      </c>
      <c r="F8" s="3" t="s">
        <v>11</v>
      </c>
      <c r="G8" s="6">
        <v>15865.0</v>
      </c>
      <c r="H8" s="6">
        <f>D8*G8</f>
        <v>158650.0</v>
      </c>
    </row>
    <row r="9" spans="8:8" ht="20.0" customHeight="1">
      <c r="A9" s="7">
        <v>6.0</v>
      </c>
      <c r="B9" s="8" t="s">
        <v>19</v>
      </c>
      <c r="C9" s="7" t="s">
        <v>20</v>
      </c>
      <c r="D9" s="9">
        <v>10.0</v>
      </c>
      <c r="E9" s="9">
        <v>0.0</v>
      </c>
      <c r="F9" s="7" t="s">
        <v>11</v>
      </c>
      <c r="G9" s="10">
        <v>8172.0</v>
      </c>
      <c r="H9" s="10">
        <f>D9*G9</f>
        <v>81720.0</v>
      </c>
    </row>
    <row r="10" spans="8:8" ht="20.0" customHeight="1">
      <c r="A10" s="3">
        <v>7.0</v>
      </c>
      <c r="B10" s="4" t="s">
        <v>21</v>
      </c>
      <c r="C10" s="3" t="s">
        <v>22</v>
      </c>
      <c r="D10" s="5">
        <v>20.0</v>
      </c>
      <c r="E10" s="5">
        <v>0.0</v>
      </c>
      <c r="F10" s="3" t="s">
        <v>11</v>
      </c>
      <c r="G10" s="6">
        <v>26626.0</v>
      </c>
      <c r="H10" s="6">
        <f>D10*G10</f>
        <v>532520.0</v>
      </c>
    </row>
    <row r="11" spans="8:8" ht="20.0" customHeight="1">
      <c r="A11" s="7">
        <v>8.0</v>
      </c>
      <c r="B11" s="8" t="s">
        <v>23</v>
      </c>
      <c r="C11" s="7" t="s">
        <v>24</v>
      </c>
      <c r="D11" s="9">
        <v>10.0</v>
      </c>
      <c r="E11" s="9">
        <v>0.0</v>
      </c>
      <c r="F11" s="7" t="s">
        <v>25</v>
      </c>
      <c r="G11" s="10">
        <v>2500.0</v>
      </c>
      <c r="H11" s="10">
        <f>D11*G11</f>
        <v>25000.0</v>
      </c>
    </row>
    <row r="12" spans="8:8" ht="20.0" customHeight="1">
      <c r="A12" s="3">
        <v>9.0</v>
      </c>
      <c r="B12" s="4" t="s">
        <v>26</v>
      </c>
      <c r="C12" s="3" t="s">
        <v>20</v>
      </c>
      <c r="D12" s="5">
        <v>10.0</v>
      </c>
      <c r="E12" s="5">
        <v>0.0</v>
      </c>
      <c r="F12" s="3" t="s">
        <v>27</v>
      </c>
      <c r="G12" s="6">
        <v>18000.0</v>
      </c>
      <c r="H12" s="6">
        <f>D12*G12</f>
        <v>180000.0</v>
      </c>
    </row>
    <row r="13" spans="8:8" ht="20.0" customHeight="1">
      <c r="A13" s="7">
        <v>10.0</v>
      </c>
      <c r="B13" s="8" t="s">
        <v>28</v>
      </c>
      <c r="C13" s="7" t="s">
        <v>29</v>
      </c>
      <c r="D13" s="9">
        <v>50.0</v>
      </c>
      <c r="E13" s="9">
        <v>0.0</v>
      </c>
      <c r="F13" s="7" t="s">
        <v>27</v>
      </c>
      <c r="G13" s="10">
        <v>22000.0</v>
      </c>
      <c r="H13" s="10">
        <f>D13*G13</f>
        <v>1100000.0</v>
      </c>
    </row>
    <row r="14" spans="8:8" ht="20.0" customHeight="1">
      <c r="A14" s="3">
        <v>11.0</v>
      </c>
      <c r="B14" s="4" t="s">
        <v>30</v>
      </c>
      <c r="C14" s="3" t="s">
        <v>31</v>
      </c>
      <c r="D14" s="5">
        <v>10.0</v>
      </c>
      <c r="E14" s="5">
        <v>0.0</v>
      </c>
      <c r="F14" s="3" t="s">
        <v>32</v>
      </c>
      <c r="G14" s="6">
        <v>1800.0</v>
      </c>
      <c r="H14" s="6">
        <f>D14*G14</f>
        <v>18000.0</v>
      </c>
    </row>
    <row r="15" spans="8:8" ht="20.0" customHeight="1">
      <c r="A15" s="7">
        <v>12.0</v>
      </c>
      <c r="B15" s="8" t="s">
        <v>33</v>
      </c>
      <c r="C15" s="7" t="s">
        <v>34</v>
      </c>
      <c r="D15" s="9">
        <v>20.0</v>
      </c>
      <c r="E15" s="9">
        <v>0.0</v>
      </c>
      <c r="F15" s="7" t="s">
        <v>27</v>
      </c>
      <c r="G15" s="10">
        <v>3300.0</v>
      </c>
      <c r="H15" s="10">
        <f>D15*G15</f>
        <v>66000.0</v>
      </c>
    </row>
    <row r="16" spans="8:8" ht="20.0" customHeight="1">
      <c r="A16" s="3">
        <v>13.0</v>
      </c>
      <c r="B16" s="4" t="s">
        <v>35</v>
      </c>
      <c r="C16" s="3" t="s">
        <v>29</v>
      </c>
      <c r="D16" s="5">
        <v>10.0</v>
      </c>
      <c r="E16" s="5">
        <v>0.0</v>
      </c>
      <c r="F16" s="3" t="s">
        <v>11</v>
      </c>
      <c r="G16" s="6">
        <v>5000.0</v>
      </c>
      <c r="H16" s="6">
        <f>D16*G16</f>
        <v>50000.0</v>
      </c>
    </row>
    <row r="17" spans="8:8" ht="20.0" customHeight="1">
      <c r="A17" s="7">
        <v>14.0</v>
      </c>
      <c r="B17" s="8" t="s">
        <v>36</v>
      </c>
      <c r="C17" s="7" t="s">
        <v>37</v>
      </c>
      <c r="D17" s="9">
        <v>10.0</v>
      </c>
      <c r="E17" s="9">
        <v>0.0</v>
      </c>
      <c r="F17" s="7" t="s">
        <v>11</v>
      </c>
      <c r="G17" s="10">
        <v>6100.0</v>
      </c>
      <c r="H17" s="10">
        <f>D17*G17</f>
        <v>61000.0</v>
      </c>
    </row>
    <row r="18" spans="8:8" ht="20.0" customHeight="1">
      <c r="A18" s="3">
        <v>15.0</v>
      </c>
      <c r="B18" s="4" t="s">
        <v>38</v>
      </c>
      <c r="C18" s="3" t="s">
        <v>39</v>
      </c>
      <c r="D18" s="5">
        <v>10.0</v>
      </c>
      <c r="E18" s="5">
        <v>0.0</v>
      </c>
      <c r="F18" s="3" t="s">
        <v>11</v>
      </c>
      <c r="G18" s="6">
        <v>27726.0</v>
      </c>
      <c r="H18" s="6">
        <f>D18*G18</f>
        <v>277260.0</v>
      </c>
    </row>
    <row r="19" spans="8:8" ht="20.0" customHeight="1">
      <c r="A19" s="7">
        <v>16.0</v>
      </c>
      <c r="B19" s="8" t="s">
        <v>40</v>
      </c>
      <c r="C19" s="7" t="s">
        <v>41</v>
      </c>
      <c r="D19" s="9">
        <v>5.0</v>
      </c>
      <c r="E19" s="9">
        <v>0.0</v>
      </c>
      <c r="F19" s="7" t="s">
        <v>11</v>
      </c>
      <c r="G19" s="10">
        <v>13961.0</v>
      </c>
      <c r="H19" s="10">
        <f>D19*G19</f>
        <v>69805.0</v>
      </c>
    </row>
    <row r="20" spans="8:8" ht="20.0" customHeight="1">
      <c r="A20" s="3">
        <v>17.0</v>
      </c>
      <c r="B20" s="4" t="s">
        <v>42</v>
      </c>
      <c r="C20" s="3" t="s">
        <v>43</v>
      </c>
      <c r="D20" s="5">
        <v>20.0</v>
      </c>
      <c r="E20" s="5">
        <v>0.0</v>
      </c>
      <c r="F20" s="3" t="s">
        <v>32</v>
      </c>
      <c r="G20" s="6">
        <v>4500.0</v>
      </c>
      <c r="H20" s="6">
        <f>D20*G20</f>
        <v>90000.0</v>
      </c>
    </row>
    <row r="21" spans="8:8" ht="20.0" customHeight="1">
      <c r="A21" s="7">
        <v>18.0</v>
      </c>
      <c r="B21" s="8" t="s">
        <v>44</v>
      </c>
      <c r="C21" s="7" t="s">
        <v>37</v>
      </c>
      <c r="D21" s="9">
        <v>10.0</v>
      </c>
      <c r="E21" s="9">
        <v>0.0</v>
      </c>
      <c r="F21" s="7" t="s">
        <v>32</v>
      </c>
      <c r="G21" s="10">
        <v>17690.0</v>
      </c>
      <c r="H21" s="10">
        <f>D21*G21</f>
        <v>176900.0</v>
      </c>
    </row>
    <row r="22" spans="8:8" ht="20.0" customHeight="1">
      <c r="A22" s="3">
        <v>19.0</v>
      </c>
      <c r="B22" s="4" t="s">
        <v>45</v>
      </c>
      <c r="C22" s="3" t="s">
        <v>46</v>
      </c>
      <c r="D22" s="5">
        <v>10.0</v>
      </c>
      <c r="E22" s="5">
        <v>0.0</v>
      </c>
      <c r="F22" s="3" t="s">
        <v>32</v>
      </c>
      <c r="G22" s="6">
        <v>17638.0</v>
      </c>
      <c r="H22" s="6">
        <f>D22*G22</f>
        <v>176380.0</v>
      </c>
    </row>
    <row r="23" spans="8:8" ht="20.0" customHeight="1">
      <c r="A23" s="7">
        <v>20.0</v>
      </c>
      <c r="B23" s="8" t="s">
        <v>47</v>
      </c>
      <c r="C23" s="7" t="s">
        <v>48</v>
      </c>
      <c r="D23" s="9">
        <v>10.0</v>
      </c>
      <c r="E23" s="9">
        <v>0.0</v>
      </c>
      <c r="F23" s="7" t="s">
        <v>11</v>
      </c>
      <c r="G23" s="10">
        <v>16506.0</v>
      </c>
      <c r="H23" s="10">
        <f>D23*G23</f>
        <v>165060.0</v>
      </c>
    </row>
    <row r="24" spans="8:8" ht="20.0" customHeight="1">
      <c r="A24" s="3">
        <v>21.0</v>
      </c>
      <c r="B24" s="4" t="s">
        <v>49</v>
      </c>
      <c r="C24" s="3" t="s">
        <v>46</v>
      </c>
      <c r="D24" s="5">
        <v>10.0</v>
      </c>
      <c r="E24" s="5">
        <v>0.0</v>
      </c>
      <c r="F24" s="3" t="s">
        <v>11</v>
      </c>
      <c r="G24" s="6">
        <v>7500.0</v>
      </c>
      <c r="H24" s="6">
        <f>D24*G24</f>
        <v>75000.0</v>
      </c>
    </row>
    <row r="25" spans="8:8" ht="20.0" customHeight="1">
      <c r="A25" s="7">
        <v>22.0</v>
      </c>
      <c r="B25" s="8" t="s">
        <v>50</v>
      </c>
      <c r="C25" s="7" t="s">
        <v>20</v>
      </c>
      <c r="D25" s="9">
        <v>20.0</v>
      </c>
      <c r="E25" s="9">
        <v>0.0</v>
      </c>
      <c r="F25" s="7" t="s">
        <v>11</v>
      </c>
      <c r="G25" s="10">
        <v>3950.0</v>
      </c>
      <c r="H25" s="10">
        <f>D25*G25</f>
        <v>79000.0</v>
      </c>
    </row>
    <row r="26" spans="8:8" ht="20.0" customHeight="1">
      <c r="A26" s="3">
        <v>23.0</v>
      </c>
      <c r="B26" s="4" t="s">
        <v>51</v>
      </c>
      <c r="C26" s="3" t="s">
        <v>52</v>
      </c>
      <c r="D26" s="5">
        <v>15.0</v>
      </c>
      <c r="E26" s="5">
        <v>0.0</v>
      </c>
      <c r="F26" s="3" t="s">
        <v>32</v>
      </c>
      <c r="G26" s="6">
        <v>2600.0</v>
      </c>
      <c r="H26" s="6">
        <f>D26*G26</f>
        <v>39000.0</v>
      </c>
    </row>
    <row r="27" spans="8:8" ht="20.0" customHeight="1">
      <c r="A27" s="7">
        <v>24.0</v>
      </c>
      <c r="B27" s="8" t="s">
        <v>53</v>
      </c>
      <c r="C27" s="7" t="s">
        <v>37</v>
      </c>
      <c r="D27" s="9">
        <v>20.0</v>
      </c>
      <c r="E27" s="9">
        <v>0.0</v>
      </c>
      <c r="F27" s="7" t="s">
        <v>32</v>
      </c>
      <c r="G27" s="10">
        <v>2600.0</v>
      </c>
      <c r="H27" s="10">
        <f>D27*G27</f>
        <v>52000.0</v>
      </c>
    </row>
    <row r="28" spans="8:8" ht="20.0" customHeight="1">
      <c r="A28" s="3">
        <v>25.0</v>
      </c>
      <c r="B28" s="4" t="s">
        <v>54</v>
      </c>
      <c r="C28" s="3" t="s">
        <v>55</v>
      </c>
      <c r="D28" s="5">
        <v>20.0</v>
      </c>
      <c r="E28" s="5">
        <v>0.0</v>
      </c>
      <c r="F28" s="3" t="s">
        <v>32</v>
      </c>
      <c r="G28" s="6">
        <v>3600.0</v>
      </c>
      <c r="H28" s="6">
        <f>D28*G28</f>
        <v>72000.0</v>
      </c>
    </row>
    <row r="29" spans="8:8" ht="20.0" customHeight="1">
      <c r="A29" s="7">
        <v>26.0</v>
      </c>
      <c r="B29" s="8" t="s">
        <v>56</v>
      </c>
      <c r="C29" s="7" t="s">
        <v>57</v>
      </c>
      <c r="D29" s="9">
        <v>100.0</v>
      </c>
      <c r="E29" s="9">
        <v>0.0</v>
      </c>
      <c r="F29" s="7" t="s">
        <v>11</v>
      </c>
      <c r="G29" s="10">
        <v>3000.0</v>
      </c>
      <c r="H29" s="10">
        <f>D29*G29</f>
        <v>300000.0</v>
      </c>
    </row>
    <row r="30" spans="8:8" ht="20.0" customHeight="1">
      <c r="A30" s="3">
        <v>27.0</v>
      </c>
      <c r="B30" s="4" t="s">
        <v>58</v>
      </c>
      <c r="C30" s="3" t="s">
        <v>57</v>
      </c>
      <c r="D30" s="5">
        <v>100.0</v>
      </c>
      <c r="E30" s="5">
        <v>0.0</v>
      </c>
      <c r="F30" s="3" t="s">
        <v>32</v>
      </c>
      <c r="G30" s="6">
        <v>2800.0</v>
      </c>
      <c r="H30" s="6">
        <f>D30*G30</f>
        <v>280000.0</v>
      </c>
    </row>
    <row r="31" spans="8:8" ht="20.0" customHeight="1">
      <c r="A31" s="7">
        <v>28.0</v>
      </c>
      <c r="B31" s="8" t="s">
        <v>59</v>
      </c>
      <c r="C31" s="7" t="s">
        <v>60</v>
      </c>
      <c r="D31" s="9">
        <v>3.0</v>
      </c>
      <c r="E31" s="9">
        <v>0.0</v>
      </c>
      <c r="F31" s="7" t="s">
        <v>11</v>
      </c>
      <c r="G31" s="10">
        <v>25000.0</v>
      </c>
      <c r="H31" s="10">
        <f>D31*G31</f>
        <v>75000.0</v>
      </c>
    </row>
    <row r="32" spans="8:8" ht="20.0" customHeight="1">
      <c r="A32" s="3">
        <v>29.0</v>
      </c>
      <c r="B32" s="4" t="s">
        <v>61</v>
      </c>
      <c r="C32" s="3" t="s">
        <v>48</v>
      </c>
      <c r="D32" s="5">
        <v>20.0</v>
      </c>
      <c r="E32" s="5">
        <v>0.0</v>
      </c>
      <c r="F32" s="3" t="s">
        <v>11</v>
      </c>
      <c r="G32" s="6">
        <v>4500.0</v>
      </c>
      <c r="H32" s="6">
        <f>D32*G32</f>
        <v>90000.0</v>
      </c>
    </row>
    <row r="33" spans="8:8" ht="20.0" customHeight="1">
      <c r="A33" s="7">
        <v>30.0</v>
      </c>
      <c r="B33" s="8" t="s">
        <v>62</v>
      </c>
      <c r="C33" s="7" t="s">
        <v>63</v>
      </c>
      <c r="D33" s="9">
        <v>5.0</v>
      </c>
      <c r="E33" s="9">
        <v>0.0</v>
      </c>
      <c r="F33" s="7" t="s">
        <v>11</v>
      </c>
      <c r="G33" s="10">
        <v>6600.0</v>
      </c>
      <c r="H33" s="10">
        <f>D33*G33</f>
        <v>33000.0</v>
      </c>
    </row>
    <row r="34" spans="8:8" ht="20.0" customHeight="1">
      <c r="A34" s="3">
        <v>31.0</v>
      </c>
      <c r="B34" s="4" t="s">
        <v>64</v>
      </c>
      <c r="C34" s="3" t="s">
        <v>63</v>
      </c>
      <c r="D34" s="5">
        <v>5.0</v>
      </c>
      <c r="E34" s="5">
        <v>0.0</v>
      </c>
      <c r="F34" s="3" t="s">
        <v>11</v>
      </c>
      <c r="G34" s="6">
        <v>8100.0</v>
      </c>
      <c r="H34" s="6">
        <f>D34*G34</f>
        <v>40500.0</v>
      </c>
    </row>
    <row r="35" spans="8:8" ht="20.0" customHeight="1">
      <c r="A35" s="7">
        <v>32.0</v>
      </c>
      <c r="B35" s="8" t="s">
        <v>65</v>
      </c>
      <c r="C35" s="7" t="s">
        <v>37</v>
      </c>
      <c r="D35" s="9">
        <v>200.0</v>
      </c>
      <c r="E35" s="9">
        <v>0.0</v>
      </c>
      <c r="F35" s="7" t="s">
        <v>11</v>
      </c>
      <c r="G35" s="10">
        <v>3500.0</v>
      </c>
      <c r="H35" s="10">
        <f>D35*G35</f>
        <v>700000.0</v>
      </c>
    </row>
    <row r="36" spans="8:8" ht="20.0" customHeight="1">
      <c r="A36" s="3">
        <v>33.0</v>
      </c>
      <c r="B36" s="4" t="s">
        <v>66</v>
      </c>
      <c r="C36" s="3" t="s">
        <v>67</v>
      </c>
      <c r="D36" s="5">
        <v>10.0</v>
      </c>
      <c r="E36" s="5">
        <v>0.0</v>
      </c>
      <c r="F36" s="3" t="s">
        <v>68</v>
      </c>
      <c r="G36" s="6">
        <v>7200.0</v>
      </c>
      <c r="H36" s="6">
        <f>D36*G36</f>
        <v>72000.0</v>
      </c>
    </row>
    <row r="37" spans="8:8" ht="20.0" customHeight="1">
      <c r="A37" s="7">
        <v>34.0</v>
      </c>
      <c r="B37" s="8" t="s">
        <v>69</v>
      </c>
      <c r="C37" s="7" t="s">
        <v>70</v>
      </c>
      <c r="D37" s="9">
        <v>5.0</v>
      </c>
      <c r="E37" s="9">
        <v>0.0</v>
      </c>
      <c r="F37" s="7" t="s">
        <v>71</v>
      </c>
      <c r="G37" s="10">
        <v>8200.0</v>
      </c>
      <c r="H37" s="10">
        <f>D37*G37</f>
        <v>41000.0</v>
      </c>
    </row>
    <row r="38" spans="8:8" ht="20.0" customHeight="1">
      <c r="A38" s="3">
        <v>35.0</v>
      </c>
      <c r="B38" s="4" t="s">
        <v>72</v>
      </c>
      <c r="C38" s="3" t="s">
        <v>73</v>
      </c>
      <c r="D38" s="5">
        <v>5.0</v>
      </c>
      <c r="E38" s="5">
        <v>0.0</v>
      </c>
      <c r="F38" s="3" t="s">
        <v>68</v>
      </c>
      <c r="G38" s="6">
        <v>15000.0</v>
      </c>
      <c r="H38" s="6">
        <f>D38*G38</f>
        <v>75000.0</v>
      </c>
    </row>
    <row r="39" spans="8:8" ht="20.0" customHeight="1">
      <c r="A39" s="7">
        <v>36.0</v>
      </c>
      <c r="B39" s="8" t="s">
        <v>74</v>
      </c>
      <c r="C39" s="7" t="s">
        <v>75</v>
      </c>
      <c r="D39" s="9">
        <v>1.0</v>
      </c>
      <c r="E39" s="9">
        <v>0.0</v>
      </c>
      <c r="F39" s="7" t="s">
        <v>68</v>
      </c>
      <c r="G39" s="10">
        <v>22500.0</v>
      </c>
      <c r="H39" s="10">
        <f>D39*G39</f>
        <v>22500.0</v>
      </c>
    </row>
    <row r="40" spans="8:8" ht="20.0" customHeight="1">
      <c r="A40" s="3">
        <v>37.0</v>
      </c>
      <c r="B40" s="4" t="s">
        <v>76</v>
      </c>
      <c r="C40" s="3" t="s">
        <v>77</v>
      </c>
      <c r="D40" s="5">
        <v>10.0</v>
      </c>
      <c r="E40" s="5">
        <v>0.0</v>
      </c>
      <c r="F40" s="3" t="s">
        <v>68</v>
      </c>
      <c r="G40" s="6">
        <v>10750.0</v>
      </c>
      <c r="H40" s="6">
        <f>D40*G40</f>
        <v>107500.0</v>
      </c>
    </row>
    <row r="41" spans="8:8" ht="20.0" customHeight="1">
      <c r="A41" s="7">
        <v>38.0</v>
      </c>
      <c r="B41" s="8" t="s">
        <v>78</v>
      </c>
      <c r="C41" s="7" t="s">
        <v>79</v>
      </c>
      <c r="D41" s="9">
        <v>10.0</v>
      </c>
      <c r="E41" s="9">
        <v>0.0</v>
      </c>
      <c r="F41" s="7" t="s">
        <v>71</v>
      </c>
      <c r="G41" s="10">
        <v>7000.0</v>
      </c>
      <c r="H41" s="10">
        <f>D41*G41</f>
        <v>70000.0</v>
      </c>
    </row>
    <row r="42" spans="8:8" ht="20.0" customHeight="1">
      <c r="A42" s="3">
        <v>39.0</v>
      </c>
      <c r="B42" s="4" t="s">
        <v>80</v>
      </c>
      <c r="C42" s="3" t="s">
        <v>77</v>
      </c>
      <c r="D42" s="5">
        <v>1.0</v>
      </c>
      <c r="E42" s="5">
        <v>0.0</v>
      </c>
      <c r="F42" s="3" t="s">
        <v>68</v>
      </c>
      <c r="G42" s="6">
        <v>38000.0</v>
      </c>
      <c r="H42" s="6">
        <f>D42*G42</f>
        <v>38000.0</v>
      </c>
    </row>
    <row r="43" spans="8:8" ht="20.0" customHeight="1">
      <c r="A43" s="7">
        <v>40.0</v>
      </c>
      <c r="B43" s="8" t="s">
        <v>81</v>
      </c>
      <c r="C43" s="7" t="s">
        <v>82</v>
      </c>
      <c r="D43" s="9">
        <v>2.0</v>
      </c>
      <c r="E43" s="9">
        <v>0.0</v>
      </c>
      <c r="F43" s="7" t="s">
        <v>83</v>
      </c>
      <c r="G43" s="10">
        <v>32000.0</v>
      </c>
      <c r="H43" s="10">
        <f>D43*G43</f>
        <v>64000.0</v>
      </c>
    </row>
    <row r="44" spans="8:8" ht="20.0" customHeight="1">
      <c r="A44" s="3">
        <v>41.0</v>
      </c>
      <c r="B44" s="4" t="s">
        <v>84</v>
      </c>
      <c r="C44" s="3" t="s">
        <v>77</v>
      </c>
      <c r="D44" s="5">
        <v>2.0</v>
      </c>
      <c r="E44" s="5">
        <v>0.0</v>
      </c>
      <c r="F44" s="3" t="s">
        <v>68</v>
      </c>
      <c r="G44" s="6">
        <v>33000.0</v>
      </c>
      <c r="H44" s="6">
        <f>D44*G44</f>
        <v>66000.0</v>
      </c>
    </row>
    <row r="45" spans="8:8" ht="20.0" customHeight="1">
      <c r="A45" s="7">
        <v>42.0</v>
      </c>
      <c r="B45" s="8" t="s">
        <v>85</v>
      </c>
      <c r="C45" s="7" t="s">
        <v>77</v>
      </c>
      <c r="D45" s="9">
        <v>1.0</v>
      </c>
      <c r="E45" s="9">
        <v>0.0</v>
      </c>
      <c r="F45" s="7" t="s">
        <v>68</v>
      </c>
      <c r="G45" s="10">
        <v>38000.0</v>
      </c>
      <c r="H45" s="10">
        <f>D45*G45</f>
        <v>38000.0</v>
      </c>
    </row>
    <row r="46" spans="8:8" ht="20.0" customHeight="1">
      <c r="A46" s="3">
        <v>43.0</v>
      </c>
      <c r="B46" s="4" t="s">
        <v>86</v>
      </c>
      <c r="C46" s="3" t="s">
        <v>87</v>
      </c>
      <c r="D46" s="5">
        <v>5.0</v>
      </c>
      <c r="E46" s="5">
        <v>0.0</v>
      </c>
      <c r="F46" s="3" t="s">
        <v>88</v>
      </c>
      <c r="G46" s="6">
        <v>8000.0</v>
      </c>
      <c r="H46" s="6">
        <f>D46*G46</f>
        <v>40000.0</v>
      </c>
    </row>
    <row r="47" spans="8:8" ht="20.0" customHeight="1">
      <c r="A47" s="7">
        <v>44.0</v>
      </c>
      <c r="B47" s="8" t="s">
        <v>89</v>
      </c>
      <c r="C47" s="7" t="s">
        <v>73</v>
      </c>
      <c r="D47" s="9">
        <v>5.0</v>
      </c>
      <c r="E47" s="9">
        <v>0.0</v>
      </c>
      <c r="F47" s="7" t="s">
        <v>68</v>
      </c>
      <c r="G47" s="10">
        <v>4000.0</v>
      </c>
      <c r="H47" s="10">
        <f>D47*G47</f>
        <v>20000.0</v>
      </c>
    </row>
    <row r="48" spans="8:8" ht="20.0" customHeight="1">
      <c r="A48" s="3">
        <v>45.0</v>
      </c>
      <c r="B48" s="4" t="s">
        <v>90</v>
      </c>
      <c r="C48" s="3" t="s">
        <v>91</v>
      </c>
      <c r="D48" s="5">
        <v>10.0</v>
      </c>
      <c r="E48" s="5">
        <v>0.0</v>
      </c>
      <c r="F48" s="3" t="s">
        <v>83</v>
      </c>
      <c r="G48" s="6">
        <v>6350.0</v>
      </c>
      <c r="H48" s="6">
        <f>D48*G48</f>
        <v>63500.0</v>
      </c>
    </row>
    <row r="49" spans="8:8" ht="20.0" customHeight="1">
      <c r="A49" s="7">
        <v>46.0</v>
      </c>
      <c r="B49" s="8" t="s">
        <v>92</v>
      </c>
      <c r="C49" s="7" t="s">
        <v>91</v>
      </c>
      <c r="D49" s="9">
        <v>10.0</v>
      </c>
      <c r="E49" s="9">
        <v>0.0</v>
      </c>
      <c r="F49" s="7" t="s">
        <v>25</v>
      </c>
      <c r="G49" s="10">
        <v>8300.0</v>
      </c>
      <c r="H49" s="10">
        <f>D49*G49</f>
        <v>83000.0</v>
      </c>
    </row>
    <row r="50" spans="8:8" ht="20.0" customHeight="1">
      <c r="A50" s="3">
        <v>47.0</v>
      </c>
      <c r="B50" s="4" t="s">
        <v>93</v>
      </c>
      <c r="C50" s="3" t="s">
        <v>94</v>
      </c>
      <c r="D50" s="5">
        <v>5.0</v>
      </c>
      <c r="E50" s="5">
        <v>0.0</v>
      </c>
      <c r="F50" s="3" t="s">
        <v>68</v>
      </c>
      <c r="G50" s="6">
        <v>25000.0</v>
      </c>
      <c r="H50" s="6">
        <f>D50*G50</f>
        <v>125000.0</v>
      </c>
    </row>
    <row r="51" spans="8:8" ht="20.0" customHeight="1">
      <c r="A51" s="7">
        <v>48.0</v>
      </c>
      <c r="B51" s="8" t="s">
        <v>95</v>
      </c>
      <c r="C51" s="7" t="s">
        <v>96</v>
      </c>
      <c r="D51" s="9">
        <v>10.0</v>
      </c>
      <c r="E51" s="9">
        <v>0.0</v>
      </c>
      <c r="F51" s="7" t="s">
        <v>68</v>
      </c>
      <c r="G51" s="10">
        <v>6600.0</v>
      </c>
      <c r="H51" s="10">
        <f>D51*G51</f>
        <v>66000.0</v>
      </c>
    </row>
    <row r="52" spans="8:8" ht="20.0" customHeight="1">
      <c r="A52" s="3">
        <v>49.0</v>
      </c>
      <c r="B52" s="4" t="s">
        <v>97</v>
      </c>
      <c r="C52" s="3" t="s">
        <v>98</v>
      </c>
      <c r="D52" s="5">
        <v>10.0</v>
      </c>
      <c r="E52" s="5">
        <v>0.0</v>
      </c>
      <c r="F52" s="3" t="s">
        <v>71</v>
      </c>
      <c r="G52" s="6">
        <v>2500.0</v>
      </c>
      <c r="H52" s="6">
        <f>D52*G52</f>
        <v>25000.0</v>
      </c>
    </row>
    <row r="53" spans="8:8" ht="20.0" customHeight="1">
      <c r="A53" s="7">
        <v>50.0</v>
      </c>
      <c r="B53" s="8" t="s">
        <v>99</v>
      </c>
      <c r="C53" s="7" t="s">
        <v>100</v>
      </c>
      <c r="D53" s="9">
        <v>1.0</v>
      </c>
      <c r="E53" s="9">
        <v>0.0</v>
      </c>
      <c r="F53" s="7" t="s">
        <v>88</v>
      </c>
      <c r="G53" s="10">
        <v>30000.0</v>
      </c>
      <c r="H53" s="10">
        <f>D53*G53</f>
        <v>30000.0</v>
      </c>
    </row>
    <row r="54" spans="8:8" ht="20.0" customHeight="1">
      <c r="A54" s="3">
        <v>51.0</v>
      </c>
      <c r="B54" s="4" t="s">
        <v>101</v>
      </c>
      <c r="C54" s="3" t="s">
        <v>77</v>
      </c>
      <c r="D54" s="5">
        <v>10.0</v>
      </c>
      <c r="E54" s="5">
        <v>0.0</v>
      </c>
      <c r="F54" s="3" t="s">
        <v>68</v>
      </c>
      <c r="G54" s="6">
        <v>4000.0</v>
      </c>
      <c r="H54" s="6">
        <f>D54*G54</f>
        <v>40000.0</v>
      </c>
    </row>
    <row r="55" spans="8:8" ht="20.0" customHeight="1">
      <c r="A55" s="7">
        <v>52.0</v>
      </c>
      <c r="B55" s="8" t="s">
        <v>102</v>
      </c>
      <c r="C55" s="7" t="s">
        <v>87</v>
      </c>
      <c r="D55" s="9">
        <v>5.0</v>
      </c>
      <c r="E55" s="9">
        <v>0.0</v>
      </c>
      <c r="F55" s="7" t="s">
        <v>68</v>
      </c>
      <c r="G55" s="10">
        <v>14500.0</v>
      </c>
      <c r="H55" s="10">
        <f>D55*G55</f>
        <v>72500.0</v>
      </c>
    </row>
    <row r="56" spans="8:8" ht="20.0" customHeight="1">
      <c r="A56" s="3">
        <v>53.0</v>
      </c>
      <c r="B56" s="4" t="s">
        <v>103</v>
      </c>
      <c r="C56" s="3" t="s">
        <v>104</v>
      </c>
      <c r="D56" s="5">
        <v>10.0</v>
      </c>
      <c r="E56" s="5">
        <v>0.0</v>
      </c>
      <c r="F56" s="3" t="s">
        <v>71</v>
      </c>
      <c r="G56" s="6">
        <v>5800.0</v>
      </c>
      <c r="H56" s="6">
        <f>D56*G56</f>
        <v>58000.0</v>
      </c>
    </row>
    <row r="57" spans="8:8" ht="20.0" customHeight="1">
      <c r="A57" s="7">
        <v>54.0</v>
      </c>
      <c r="B57" s="8" t="s">
        <v>105</v>
      </c>
      <c r="C57" s="7" t="s">
        <v>106</v>
      </c>
      <c r="D57" s="9">
        <v>10.0</v>
      </c>
      <c r="E57" s="9">
        <v>0.0</v>
      </c>
      <c r="F57" s="7" t="s">
        <v>71</v>
      </c>
      <c r="G57" s="10">
        <v>2350.0</v>
      </c>
      <c r="H57" s="10">
        <f>D57*G57</f>
        <v>23500.0</v>
      </c>
    </row>
    <row r="58" spans="8:8" ht="20.0" customHeight="1">
      <c r="A58" s="3">
        <v>55.0</v>
      </c>
      <c r="B58" s="4" t="s">
        <v>107</v>
      </c>
      <c r="C58" s="3" t="s">
        <v>82</v>
      </c>
      <c r="D58" s="5">
        <v>20.0</v>
      </c>
      <c r="E58" s="5">
        <v>0.0</v>
      </c>
      <c r="F58" s="3" t="s">
        <v>108</v>
      </c>
      <c r="G58" s="6">
        <v>5500.0</v>
      </c>
      <c r="H58" s="6">
        <f>D58*G58</f>
        <v>110000.0</v>
      </c>
    </row>
    <row r="59" spans="8:8" ht="20.0" customHeight="1">
      <c r="A59" s="7">
        <v>56.0</v>
      </c>
      <c r="B59" s="8" t="s">
        <v>109</v>
      </c>
      <c r="C59" s="7" t="s">
        <v>82</v>
      </c>
      <c r="D59" s="9">
        <v>20.0</v>
      </c>
      <c r="E59" s="9">
        <v>0.0</v>
      </c>
      <c r="F59" s="7" t="s">
        <v>108</v>
      </c>
      <c r="G59" s="10">
        <v>5500.0</v>
      </c>
      <c r="H59" s="10">
        <f>D59*G59</f>
        <v>110000.0</v>
      </c>
    </row>
    <row r="60" spans="8:8" ht="20.0" customHeight="1">
      <c r="A60" s="3">
        <v>57.0</v>
      </c>
      <c r="B60" s="4" t="s">
        <v>110</v>
      </c>
      <c r="C60" s="3" t="s">
        <v>111</v>
      </c>
      <c r="D60" s="5">
        <v>10.0</v>
      </c>
      <c r="E60" s="5">
        <v>0.0</v>
      </c>
      <c r="F60" s="3" t="s">
        <v>25</v>
      </c>
      <c r="G60" s="6">
        <v>9500.0</v>
      </c>
      <c r="H60" s="6">
        <f>D60*G60</f>
        <v>95000.0</v>
      </c>
    </row>
    <row r="61" spans="8:8" ht="20.0" customHeight="1">
      <c r="A61" s="7">
        <v>58.0</v>
      </c>
      <c r="B61" s="8" t="s">
        <v>112</v>
      </c>
      <c r="C61" s="7" t="s">
        <v>87</v>
      </c>
      <c r="D61" s="9">
        <v>20.0</v>
      </c>
      <c r="E61" s="9">
        <v>0.0</v>
      </c>
      <c r="F61" s="7" t="s">
        <v>83</v>
      </c>
      <c r="G61" s="10">
        <v>2200.0</v>
      </c>
      <c r="H61" s="10">
        <f>D61*G61</f>
        <v>44000.0</v>
      </c>
    </row>
    <row r="62" spans="8:8" ht="20.0" customHeight="1">
      <c r="A62" s="3">
        <v>59.0</v>
      </c>
      <c r="B62" s="4" t="s">
        <v>113</v>
      </c>
      <c r="C62" s="3" t="s">
        <v>82</v>
      </c>
      <c r="D62" s="5">
        <v>10.0</v>
      </c>
      <c r="E62" s="5">
        <v>0.0</v>
      </c>
      <c r="F62" s="3" t="s">
        <v>68</v>
      </c>
      <c r="G62" s="6">
        <v>20000.0</v>
      </c>
      <c r="H62" s="6">
        <f>D62*G62</f>
        <v>200000.0</v>
      </c>
    </row>
    <row r="63" spans="8:8" ht="20.0" customHeight="1">
      <c r="A63" s="7">
        <v>60.0</v>
      </c>
      <c r="B63" s="8" t="s">
        <v>114</v>
      </c>
      <c r="C63" s="7" t="s">
        <v>115</v>
      </c>
      <c r="D63" s="9">
        <v>5.0</v>
      </c>
      <c r="E63" s="9">
        <v>0.0</v>
      </c>
      <c r="F63" s="7" t="s">
        <v>68</v>
      </c>
      <c r="G63" s="10">
        <v>20000.0</v>
      </c>
      <c r="H63" s="10">
        <f>D63*G63</f>
        <v>100000.0</v>
      </c>
    </row>
    <row r="64" spans="8:8" ht="20.0" customHeight="1">
      <c r="A64" s="3">
        <v>61.0</v>
      </c>
      <c r="B64" s="4" t="s">
        <v>116</v>
      </c>
      <c r="C64" s="3" t="s">
        <v>115</v>
      </c>
      <c r="D64" s="5">
        <v>10.0</v>
      </c>
      <c r="E64" s="5">
        <v>0.0</v>
      </c>
      <c r="F64" s="3" t="s">
        <v>68</v>
      </c>
      <c r="G64" s="6">
        <v>12000.0</v>
      </c>
      <c r="H64" s="6">
        <f>D64*G64</f>
        <v>120000.0</v>
      </c>
    </row>
    <row r="65" spans="8:8" ht="20.0" customHeight="1">
      <c r="A65" s="7">
        <v>62.0</v>
      </c>
      <c r="B65" s="8" t="s">
        <v>117</v>
      </c>
      <c r="C65" s="7" t="s">
        <v>82</v>
      </c>
      <c r="D65" s="9">
        <v>10.0</v>
      </c>
      <c r="E65" s="9">
        <v>0.0</v>
      </c>
      <c r="F65" s="7" t="s">
        <v>68</v>
      </c>
      <c r="G65" s="10">
        <v>20500.0</v>
      </c>
      <c r="H65" s="10">
        <f>D65*G65</f>
        <v>205000.0</v>
      </c>
    </row>
    <row r="66" spans="8:8" ht="20.0" customHeight="1">
      <c r="A66" s="3">
        <v>63.0</v>
      </c>
      <c r="B66" s="4" t="s">
        <v>118</v>
      </c>
      <c r="C66" s="3" t="s">
        <v>87</v>
      </c>
      <c r="D66" s="5">
        <v>5.0</v>
      </c>
      <c r="E66" s="5">
        <v>0.0</v>
      </c>
      <c r="F66" s="3" t="s">
        <v>68</v>
      </c>
      <c r="G66" s="6">
        <v>4500.0</v>
      </c>
      <c r="H66" s="6">
        <f>D66*G66</f>
        <v>22500.0</v>
      </c>
    </row>
    <row r="67" spans="8:8" ht="20.0" customHeight="1">
      <c r="A67" s="7">
        <v>64.0</v>
      </c>
      <c r="B67" s="8" t="s">
        <v>119</v>
      </c>
      <c r="C67" s="7" t="s">
        <v>94</v>
      </c>
      <c r="D67" s="9">
        <v>10.0</v>
      </c>
      <c r="E67" s="9">
        <v>0.0</v>
      </c>
      <c r="F67" s="7" t="s">
        <v>68</v>
      </c>
      <c r="G67" s="10">
        <v>12000.0</v>
      </c>
      <c r="H67" s="10">
        <f>D67*G67</f>
        <v>120000.0</v>
      </c>
    </row>
    <row r="68" spans="8:8" ht="20.0" customHeight="1">
      <c r="A68" s="3">
        <v>65.0</v>
      </c>
      <c r="B68" s="4" t="s">
        <v>120</v>
      </c>
      <c r="C68" s="3" t="s">
        <v>94</v>
      </c>
      <c r="D68" s="5">
        <v>10.0</v>
      </c>
      <c r="E68" s="5">
        <v>0.0</v>
      </c>
      <c r="F68" s="3" t="s">
        <v>68</v>
      </c>
      <c r="G68" s="6">
        <v>13000.0</v>
      </c>
      <c r="H68" s="6">
        <f>D68*G68</f>
        <v>130000.0</v>
      </c>
    </row>
    <row r="69" spans="8:8" ht="20.0" customHeight="1">
      <c r="A69" s="7">
        <v>66.0</v>
      </c>
      <c r="B69" s="8" t="s">
        <v>121</v>
      </c>
      <c r="C69" s="7" t="s">
        <v>77</v>
      </c>
      <c r="D69" s="9">
        <v>1.0</v>
      </c>
      <c r="E69" s="9">
        <v>0.0</v>
      </c>
      <c r="F69" s="7" t="s">
        <v>68</v>
      </c>
      <c r="G69" s="10">
        <v>22000.0</v>
      </c>
      <c r="H69" s="10">
        <f>D69*G69</f>
        <v>22000.0</v>
      </c>
    </row>
    <row r="70" spans="8:8" ht="20.0" customHeight="1">
      <c r="A70" s="3">
        <v>67.0</v>
      </c>
      <c r="B70" s="4" t="s">
        <v>122</v>
      </c>
      <c r="C70" s="3" t="s">
        <v>77</v>
      </c>
      <c r="D70" s="5">
        <v>1.0</v>
      </c>
      <c r="E70" s="5">
        <v>0.0</v>
      </c>
      <c r="F70" s="3" t="s">
        <v>68</v>
      </c>
      <c r="G70" s="6">
        <v>26500.0</v>
      </c>
      <c r="H70" s="6">
        <f>D70*G70</f>
        <v>26500.0</v>
      </c>
    </row>
    <row r="71" spans="8:8" ht="20.0" customHeight="1">
      <c r="A71" s="7">
        <v>68.0</v>
      </c>
      <c r="B71" s="8" t="s">
        <v>123</v>
      </c>
      <c r="C71" s="7" t="s">
        <v>77</v>
      </c>
      <c r="D71" s="9">
        <v>1.0</v>
      </c>
      <c r="E71" s="9">
        <v>0.0</v>
      </c>
      <c r="F71" s="7" t="s">
        <v>68</v>
      </c>
      <c r="G71" s="10">
        <v>26500.0</v>
      </c>
      <c r="H71" s="10">
        <f>D71*G71</f>
        <v>26500.0</v>
      </c>
    </row>
    <row r="72" spans="8:8" ht="20.0" customHeight="1">
      <c r="A72" s="3">
        <v>69.0</v>
      </c>
      <c r="B72" s="4" t="s">
        <v>124</v>
      </c>
      <c r="C72" s="3" t="s">
        <v>77</v>
      </c>
      <c r="D72" s="5">
        <v>1.0</v>
      </c>
      <c r="E72" s="5">
        <v>0.0</v>
      </c>
      <c r="F72" s="3" t="s">
        <v>68</v>
      </c>
      <c r="G72" s="6">
        <v>26500.0</v>
      </c>
      <c r="H72" s="6">
        <f>D72*G72</f>
        <v>26500.0</v>
      </c>
    </row>
    <row r="73" spans="8:8" ht="20.0" customHeight="1">
      <c r="A73" s="7">
        <v>70.0</v>
      </c>
      <c r="B73" s="8" t="s">
        <v>125</v>
      </c>
      <c r="C73" s="7" t="s">
        <v>77</v>
      </c>
      <c r="D73" s="9">
        <v>1.0</v>
      </c>
      <c r="E73" s="9">
        <v>0.0</v>
      </c>
      <c r="F73" s="7" t="s">
        <v>68</v>
      </c>
      <c r="G73" s="10">
        <v>26500.0</v>
      </c>
      <c r="H73" s="10">
        <f>D73*G73</f>
        <v>26500.0</v>
      </c>
    </row>
    <row r="74" spans="8:8" ht="20.0" customHeight="1">
      <c r="A74" s="3">
        <v>71.0</v>
      </c>
      <c r="B74" s="4" t="s">
        <v>126</v>
      </c>
      <c r="C74" s="3" t="s">
        <v>87</v>
      </c>
      <c r="D74" s="5">
        <v>1.0</v>
      </c>
      <c r="E74" s="5">
        <v>0.0</v>
      </c>
      <c r="F74" s="3" t="s">
        <v>68</v>
      </c>
      <c r="G74" s="6">
        <v>26500.0</v>
      </c>
      <c r="H74" s="6">
        <f>D74*G74</f>
        <v>26500.0</v>
      </c>
    </row>
    <row r="75" spans="8:8" ht="20.0" customHeight="1">
      <c r="A75" s="7">
        <v>72.0</v>
      </c>
      <c r="B75" s="8" t="s">
        <v>127</v>
      </c>
      <c r="C75" s="7" t="s">
        <v>128</v>
      </c>
      <c r="D75" s="9">
        <v>1.0</v>
      </c>
      <c r="E75" s="9">
        <v>0.0</v>
      </c>
      <c r="F75" s="7" t="s">
        <v>68</v>
      </c>
      <c r="G75" s="10">
        <v>26500.0</v>
      </c>
      <c r="H75" s="10">
        <f>D75*G75</f>
        <v>26500.0</v>
      </c>
    </row>
    <row r="76" spans="8:8" ht="20.0" customHeight="1">
      <c r="A76" s="3">
        <v>73.0</v>
      </c>
      <c r="B76" s="4" t="s">
        <v>129</v>
      </c>
      <c r="C76" s="3" t="s">
        <v>87</v>
      </c>
      <c r="D76" s="5">
        <v>1.0</v>
      </c>
      <c r="E76" s="5">
        <v>0.0</v>
      </c>
      <c r="F76" s="3" t="s">
        <v>68</v>
      </c>
      <c r="G76" s="6">
        <v>26500.0</v>
      </c>
      <c r="H76" s="6">
        <f>D76*G76</f>
        <v>26500.0</v>
      </c>
    </row>
    <row r="77" spans="8:8" ht="20.0" customHeight="1">
      <c r="A77" s="7">
        <v>74.0</v>
      </c>
      <c r="B77" s="8" t="s">
        <v>130</v>
      </c>
      <c r="C77" s="7" t="s">
        <v>77</v>
      </c>
      <c r="D77" s="9">
        <v>1.0</v>
      </c>
      <c r="E77" s="9">
        <v>0.0</v>
      </c>
      <c r="F77" s="7" t="s">
        <v>68</v>
      </c>
      <c r="G77" s="10">
        <v>26500.0</v>
      </c>
      <c r="H77" s="10">
        <f>D77*G77</f>
        <v>26500.0</v>
      </c>
    </row>
    <row r="78" spans="8:8" ht="20.0" customHeight="1">
      <c r="A78" s="3">
        <v>75.0</v>
      </c>
      <c r="B78" s="4" t="s">
        <v>131</v>
      </c>
      <c r="C78" s="3" t="s">
        <v>73</v>
      </c>
      <c r="D78" s="5">
        <v>20.0</v>
      </c>
      <c r="E78" s="5">
        <v>0.0</v>
      </c>
      <c r="F78" s="3" t="s">
        <v>68</v>
      </c>
      <c r="G78" s="6">
        <v>3700.0</v>
      </c>
      <c r="H78" s="6">
        <f>D78*G78</f>
        <v>74000.0</v>
      </c>
    </row>
    <row r="79" spans="8:8" ht="20.0" customHeight="1">
      <c r="A79" s="7">
        <v>76.0</v>
      </c>
      <c r="B79" s="8" t="s">
        <v>132</v>
      </c>
      <c r="C79" s="7" t="s">
        <v>77</v>
      </c>
      <c r="D79" s="9">
        <v>2.0</v>
      </c>
      <c r="E79" s="9">
        <v>0.0</v>
      </c>
      <c r="F79" s="7" t="s">
        <v>68</v>
      </c>
      <c r="G79" s="10">
        <v>27000.0</v>
      </c>
      <c r="H79" s="10">
        <f>D79*G79</f>
        <v>54000.0</v>
      </c>
    </row>
    <row r="80" spans="8:8" ht="20.0" customHeight="1">
      <c r="A80" s="3">
        <v>77.0</v>
      </c>
      <c r="B80" s="4" t="s">
        <v>133</v>
      </c>
      <c r="C80" s="3" t="s">
        <v>87</v>
      </c>
      <c r="D80" s="5">
        <v>1.0</v>
      </c>
      <c r="E80" s="5">
        <v>0.0</v>
      </c>
      <c r="F80" s="3" t="s">
        <v>68</v>
      </c>
      <c r="G80" s="6">
        <v>5500.0</v>
      </c>
      <c r="H80" s="6">
        <f>D80*G80</f>
        <v>5500.0</v>
      </c>
    </row>
    <row r="81" spans="8:8" ht="20.0" customHeight="1">
      <c r="A81" s="7">
        <v>78.0</v>
      </c>
      <c r="B81" s="8" t="s">
        <v>134</v>
      </c>
      <c r="C81" s="7" t="s">
        <v>87</v>
      </c>
      <c r="D81" s="9">
        <v>1.0</v>
      </c>
      <c r="E81" s="9">
        <v>0.0</v>
      </c>
      <c r="F81" s="7" t="s">
        <v>68</v>
      </c>
      <c r="G81" s="10">
        <v>48000.0</v>
      </c>
      <c r="H81" s="10">
        <f>D81*G81</f>
        <v>48000.0</v>
      </c>
    </row>
    <row r="82" spans="8:8" ht="20.0" customHeight="1">
      <c r="A82" s="3">
        <v>79.0</v>
      </c>
      <c r="B82" s="4" t="s">
        <v>135</v>
      </c>
      <c r="C82" s="3" t="s">
        <v>87</v>
      </c>
      <c r="D82" s="5">
        <v>1.0</v>
      </c>
      <c r="E82" s="5">
        <v>0.0</v>
      </c>
      <c r="F82" s="3" t="s">
        <v>68</v>
      </c>
      <c r="G82" s="6">
        <v>55000.0</v>
      </c>
      <c r="H82" s="6">
        <f>D82*G82</f>
        <v>55000.0</v>
      </c>
    </row>
    <row r="83" spans="8:8" ht="20.0" customHeight="1">
      <c r="A83" s="7">
        <v>80.0</v>
      </c>
      <c r="B83" s="8" t="s">
        <v>136</v>
      </c>
      <c r="C83" s="7" t="s">
        <v>77</v>
      </c>
      <c r="D83" s="9">
        <v>2.0</v>
      </c>
      <c r="E83" s="9">
        <v>0.0</v>
      </c>
      <c r="F83" s="7" t="s">
        <v>68</v>
      </c>
      <c r="G83" s="10">
        <v>55000.0</v>
      </c>
      <c r="H83" s="10">
        <f>D83*G83</f>
        <v>110000.0</v>
      </c>
    </row>
    <row r="84" spans="8:8" ht="20.0" customHeight="1">
      <c r="A84" s="3">
        <v>81.0</v>
      </c>
      <c r="B84" s="4" t="s">
        <v>137</v>
      </c>
      <c r="C84" s="3" t="s">
        <v>77</v>
      </c>
      <c r="D84" s="5">
        <v>1.0</v>
      </c>
      <c r="E84" s="5">
        <v>0.0</v>
      </c>
      <c r="F84" s="3" t="s">
        <v>68</v>
      </c>
      <c r="G84" s="6">
        <v>26500.0</v>
      </c>
      <c r="H84" s="6">
        <f>D84*G84</f>
        <v>26500.0</v>
      </c>
    </row>
    <row r="85" spans="8:8" ht="20.0" customHeight="1">
      <c r="A85" s="7">
        <v>82.0</v>
      </c>
      <c r="B85" s="8" t="s">
        <v>138</v>
      </c>
      <c r="C85" s="7" t="s">
        <v>77</v>
      </c>
      <c r="D85" s="9">
        <v>2.0</v>
      </c>
      <c r="E85" s="9">
        <v>0.0</v>
      </c>
      <c r="F85" s="7" t="s">
        <v>88</v>
      </c>
      <c r="G85" s="10">
        <v>24000.0</v>
      </c>
      <c r="H85" s="10">
        <f>D85*G85</f>
        <v>48000.0</v>
      </c>
    </row>
    <row r="86" spans="8:8" ht="20.0" customHeight="1">
      <c r="A86" s="3">
        <v>83.0</v>
      </c>
      <c r="B86" s="4" t="s">
        <v>139</v>
      </c>
      <c r="C86" s="3" t="s">
        <v>77</v>
      </c>
      <c r="D86" s="5">
        <v>2.0</v>
      </c>
      <c r="E86" s="5">
        <v>0.0</v>
      </c>
      <c r="F86" s="3" t="s">
        <v>88</v>
      </c>
      <c r="G86" s="6">
        <v>24000.0</v>
      </c>
      <c r="H86" s="6">
        <f>D86*G86</f>
        <v>48000.0</v>
      </c>
    </row>
    <row r="87" spans="8:8" ht="20.0" customHeight="1">
      <c r="A87" s="7">
        <v>84.0</v>
      </c>
      <c r="B87" s="8" t="s">
        <v>140</v>
      </c>
      <c r="C87" s="7" t="s">
        <v>77</v>
      </c>
      <c r="D87" s="9">
        <v>1.0</v>
      </c>
      <c r="E87" s="9">
        <v>0.0</v>
      </c>
      <c r="F87" s="7" t="s">
        <v>88</v>
      </c>
      <c r="G87" s="10">
        <v>18000.0</v>
      </c>
      <c r="H87" s="10">
        <f>D87*G87</f>
        <v>18000.0</v>
      </c>
    </row>
    <row r="88" spans="8:8" ht="20.0" customHeight="1">
      <c r="A88" s="3">
        <v>85.0</v>
      </c>
      <c r="B88" s="4" t="s">
        <v>141</v>
      </c>
      <c r="C88" s="3" t="s">
        <v>98</v>
      </c>
      <c r="D88" s="5">
        <v>2.0</v>
      </c>
      <c r="E88" s="5">
        <v>0.0</v>
      </c>
      <c r="F88" s="3" t="s">
        <v>88</v>
      </c>
      <c r="G88" s="6">
        <v>110700.0</v>
      </c>
      <c r="H88" s="6">
        <f>D88*G88</f>
        <v>221400.0</v>
      </c>
    </row>
    <row r="89" spans="8:8" ht="20.0" customHeight="1">
      <c r="A89" s="7">
        <v>86.0</v>
      </c>
      <c r="B89" s="8" t="s">
        <v>142</v>
      </c>
      <c r="C89" s="7" t="s">
        <v>143</v>
      </c>
      <c r="D89" s="9">
        <v>50.0</v>
      </c>
      <c r="E89" s="9">
        <v>0.0</v>
      </c>
      <c r="F89" s="7" t="s">
        <v>144</v>
      </c>
      <c r="G89" s="10">
        <v>1600.0</v>
      </c>
      <c r="H89" s="10">
        <f>D89*G89</f>
        <v>80000.0</v>
      </c>
    </row>
    <row r="90" spans="8:8" ht="20.0" customHeight="1">
      <c r="A90" s="3">
        <v>87.0</v>
      </c>
      <c r="B90" s="4" t="s">
        <v>145</v>
      </c>
      <c r="C90" s="3" t="s">
        <v>77</v>
      </c>
      <c r="D90" s="5">
        <v>60.0</v>
      </c>
      <c r="E90" s="5">
        <v>0.0</v>
      </c>
      <c r="F90" s="3" t="s">
        <v>71</v>
      </c>
      <c r="G90" s="6">
        <v>2700.0</v>
      </c>
      <c r="H90" s="6">
        <f>D90*G90</f>
        <v>162000.0</v>
      </c>
    </row>
    <row r="91" spans="8:8" ht="20.0" customHeight="1">
      <c r="A91" s="7">
        <v>88.0</v>
      </c>
      <c r="B91" s="8" t="s">
        <v>146</v>
      </c>
      <c r="C91" s="7" t="s">
        <v>104</v>
      </c>
      <c r="D91" s="9">
        <v>1.0</v>
      </c>
      <c r="E91" s="9">
        <v>0.0</v>
      </c>
      <c r="F91" s="7" t="s">
        <v>88</v>
      </c>
      <c r="G91" s="10">
        <v>24000.0</v>
      </c>
      <c r="H91" s="10">
        <f>D91*G91</f>
        <v>24000.0</v>
      </c>
    </row>
    <row r="92" spans="8:8" ht="20.0" customHeight="1">
      <c r="A92" s="3">
        <v>89.0</v>
      </c>
      <c r="B92" s="4" t="s">
        <v>147</v>
      </c>
      <c r="C92" s="3" t="s">
        <v>94</v>
      </c>
      <c r="D92" s="5">
        <v>20.0</v>
      </c>
      <c r="E92" s="5">
        <v>0.0</v>
      </c>
      <c r="F92" s="3" t="s">
        <v>68</v>
      </c>
      <c r="G92" s="6">
        <v>10500.0</v>
      </c>
      <c r="H92" s="6">
        <f>D92*G92</f>
        <v>210000.0</v>
      </c>
    </row>
    <row r="93" spans="8:8" ht="20.0" customHeight="1">
      <c r="A93" s="7">
        <v>90.0</v>
      </c>
      <c r="B93" s="8" t="s">
        <v>148</v>
      </c>
      <c r="C93" s="7" t="s">
        <v>106</v>
      </c>
      <c r="D93" s="9">
        <v>20.0</v>
      </c>
      <c r="E93" s="9">
        <v>0.0</v>
      </c>
      <c r="F93" s="7" t="s">
        <v>71</v>
      </c>
      <c r="G93" s="10">
        <v>4850.0</v>
      </c>
      <c r="H93" s="10">
        <f>D93*G93</f>
        <v>97000.0</v>
      </c>
    </row>
    <row r="94" spans="8:8" ht="20.0" customHeight="1">
      <c r="A94" s="3">
        <v>91.0</v>
      </c>
      <c r="B94" s="4" t="s">
        <v>149</v>
      </c>
      <c r="C94" s="3" t="s">
        <v>150</v>
      </c>
      <c r="D94" s="5">
        <v>20.0</v>
      </c>
      <c r="E94" s="5">
        <v>0.0</v>
      </c>
      <c r="F94" s="3" t="s">
        <v>68</v>
      </c>
      <c r="G94" s="6">
        <v>8250.0</v>
      </c>
      <c r="H94" s="6">
        <f>D94*G94</f>
        <v>165000.0</v>
      </c>
    </row>
    <row r="95" spans="8:8" ht="20.0" customHeight="1">
      <c r="A95" s="7">
        <v>92.0</v>
      </c>
      <c r="B95" s="8" t="s">
        <v>151</v>
      </c>
      <c r="C95" s="7" t="s">
        <v>152</v>
      </c>
      <c r="D95" s="9">
        <v>10.0</v>
      </c>
      <c r="E95" s="9">
        <v>0.0</v>
      </c>
      <c r="F95" s="7" t="s">
        <v>25</v>
      </c>
      <c r="G95" s="10">
        <v>6000.0</v>
      </c>
      <c r="H95" s="10">
        <f>D95*G95</f>
        <v>60000.0</v>
      </c>
    </row>
    <row r="96" spans="8:8" ht="20.0" customHeight="1">
      <c r="A96" s="3">
        <v>93.0</v>
      </c>
      <c r="B96" s="4" t="s">
        <v>153</v>
      </c>
      <c r="C96" s="3" t="s">
        <v>104</v>
      </c>
      <c r="D96" s="5">
        <v>10.0</v>
      </c>
      <c r="E96" s="5">
        <v>0.0</v>
      </c>
      <c r="F96" s="3" t="s">
        <v>25</v>
      </c>
      <c r="G96" s="6">
        <v>7500.0</v>
      </c>
      <c r="H96" s="6">
        <f>D96*G96</f>
        <v>75000.0</v>
      </c>
    </row>
    <row r="97" spans="8:8" ht="20.0" customHeight="1">
      <c r="A97" s="7">
        <v>94.0</v>
      </c>
      <c r="B97" s="8" t="s">
        <v>154</v>
      </c>
      <c r="C97" s="7" t="s">
        <v>155</v>
      </c>
      <c r="D97" s="9">
        <v>5.0</v>
      </c>
      <c r="E97" s="9">
        <v>0.0</v>
      </c>
      <c r="F97" s="7" t="s">
        <v>68</v>
      </c>
      <c r="G97" s="10">
        <v>6500.0</v>
      </c>
      <c r="H97" s="10">
        <f>D97*G97</f>
        <v>32500.0</v>
      </c>
    </row>
    <row r="98" spans="8:8" ht="20.0" customHeight="1">
      <c r="A98" s="3">
        <v>95.0</v>
      </c>
      <c r="B98" s="4" t="s">
        <v>156</v>
      </c>
      <c r="C98" s="3" t="s">
        <v>77</v>
      </c>
      <c r="D98" s="5">
        <v>1.0</v>
      </c>
      <c r="E98" s="5">
        <v>0.0</v>
      </c>
      <c r="F98" s="3" t="s">
        <v>88</v>
      </c>
      <c r="G98" s="6">
        <v>30000.0</v>
      </c>
      <c r="H98" s="6">
        <f>D98*G98</f>
        <v>30000.0</v>
      </c>
    </row>
    <row r="99" spans="8:8" ht="20.0" customHeight="1">
      <c r="A99" s="7">
        <v>96.0</v>
      </c>
      <c r="B99" s="8" t="s">
        <v>157</v>
      </c>
      <c r="C99" s="7" t="s">
        <v>77</v>
      </c>
      <c r="D99" s="9">
        <v>50.0</v>
      </c>
      <c r="E99" s="9">
        <v>0.0</v>
      </c>
      <c r="F99" s="7" t="s">
        <v>68</v>
      </c>
      <c r="G99" s="10">
        <v>2100.0</v>
      </c>
      <c r="H99" s="10">
        <f>D99*G99</f>
        <v>105000.0</v>
      </c>
    </row>
    <row r="100" spans="8:8" ht="20.0" customHeight="1">
      <c r="A100" s="3">
        <v>97.0</v>
      </c>
      <c r="B100" s="4" t="s">
        <v>158</v>
      </c>
      <c r="C100" s="3" t="s">
        <v>77</v>
      </c>
      <c r="D100" s="5">
        <v>2.0</v>
      </c>
      <c r="E100" s="5">
        <v>0.0</v>
      </c>
      <c r="F100" s="3" t="s">
        <v>68</v>
      </c>
      <c r="G100" s="6">
        <v>25000.0</v>
      </c>
      <c r="H100" s="6">
        <f>D100*G100</f>
        <v>50000.0</v>
      </c>
    </row>
    <row r="101" spans="8:8" ht="20.0" customHeight="1">
      <c r="A101" s="7">
        <v>98.0</v>
      </c>
      <c r="B101" s="8" t="s">
        <v>159</v>
      </c>
      <c r="C101" s="7" t="s">
        <v>160</v>
      </c>
      <c r="D101" s="9">
        <v>20.0</v>
      </c>
      <c r="E101" s="9">
        <v>0.0</v>
      </c>
      <c r="F101" s="7" t="s">
        <v>68</v>
      </c>
      <c r="G101" s="10">
        <v>1850.0</v>
      </c>
      <c r="H101" s="10">
        <f>D101*G101</f>
        <v>37000.0</v>
      </c>
    </row>
    <row r="102" spans="8:8" ht="20.0" customHeight="1">
      <c r="A102" s="3">
        <v>99.0</v>
      </c>
      <c r="B102" s="4" t="s">
        <v>161</v>
      </c>
      <c r="C102" s="3" t="s">
        <v>77</v>
      </c>
      <c r="D102" s="5">
        <v>5.0</v>
      </c>
      <c r="E102" s="5">
        <v>0.0</v>
      </c>
      <c r="F102" s="3" t="s">
        <v>68</v>
      </c>
      <c r="G102" s="6">
        <v>16000.0</v>
      </c>
      <c r="H102" s="6">
        <f>D102*G102</f>
        <v>80000.0</v>
      </c>
    </row>
    <row r="103" spans="8:8" ht="20.0" customHeight="1">
      <c r="A103" s="7">
        <v>100.0</v>
      </c>
      <c r="B103" s="8" t="s">
        <v>162</v>
      </c>
      <c r="C103" s="7" t="s">
        <v>91</v>
      </c>
      <c r="D103" s="9">
        <v>2.0</v>
      </c>
      <c r="E103" s="9">
        <v>0.0</v>
      </c>
      <c r="F103" s="7" t="s">
        <v>68</v>
      </c>
      <c r="G103" s="10">
        <v>11000.0</v>
      </c>
      <c r="H103" s="10">
        <f>D103*G103</f>
        <v>22000.0</v>
      </c>
    </row>
    <row r="104" spans="8:8" ht="20.0" customHeight="1">
      <c r="A104" s="3">
        <v>101.0</v>
      </c>
      <c r="B104" s="4" t="s">
        <v>163</v>
      </c>
      <c r="C104" s="3" t="s">
        <v>70</v>
      </c>
      <c r="D104" s="5">
        <v>20.0</v>
      </c>
      <c r="E104" s="5">
        <v>0.0</v>
      </c>
      <c r="F104" s="3" t="s">
        <v>71</v>
      </c>
      <c r="G104" s="6">
        <v>5200.0</v>
      </c>
      <c r="H104" s="6">
        <f>D104*G104</f>
        <v>104000.0</v>
      </c>
    </row>
    <row r="105" spans="8:8" ht="20.0" customHeight="1">
      <c r="A105" s="7">
        <v>102.0</v>
      </c>
      <c r="B105" s="8" t="s">
        <v>164</v>
      </c>
      <c r="C105" s="7" t="s">
        <v>91</v>
      </c>
      <c r="D105" s="9">
        <v>20.0</v>
      </c>
      <c r="E105" s="9">
        <v>0.0</v>
      </c>
      <c r="F105" s="7" t="s">
        <v>68</v>
      </c>
      <c r="G105" s="10">
        <v>4200.0</v>
      </c>
      <c r="H105" s="10">
        <f>D105*G105</f>
        <v>84000.0</v>
      </c>
    </row>
    <row r="106" spans="8:8" ht="20.0" customHeight="1">
      <c r="A106" s="3">
        <v>103.0</v>
      </c>
      <c r="B106" s="4" t="s">
        <v>165</v>
      </c>
      <c r="C106" s="3" t="s">
        <v>91</v>
      </c>
      <c r="D106" s="5">
        <v>20.0</v>
      </c>
      <c r="E106" s="5">
        <v>0.0</v>
      </c>
      <c r="F106" s="3" t="s">
        <v>71</v>
      </c>
      <c r="G106" s="6">
        <v>4250.0</v>
      </c>
      <c r="H106" s="6">
        <f>D106*G106</f>
        <v>85000.0</v>
      </c>
    </row>
    <row r="107" spans="8:8" ht="20.0" customHeight="1">
      <c r="A107" s="7">
        <v>104.0</v>
      </c>
      <c r="B107" s="8" t="s">
        <v>166</v>
      </c>
      <c r="C107" s="7" t="s">
        <v>155</v>
      </c>
      <c r="D107" s="9">
        <v>10.0</v>
      </c>
      <c r="E107" s="9">
        <v>0.0</v>
      </c>
      <c r="F107" s="7" t="s">
        <v>71</v>
      </c>
      <c r="G107" s="10">
        <v>4500.0</v>
      </c>
      <c r="H107" s="10">
        <f>D107*G107</f>
        <v>45000.0</v>
      </c>
    </row>
    <row r="108" spans="8:8" ht="20.0" customHeight="1">
      <c r="A108" s="3">
        <v>105.0</v>
      </c>
      <c r="B108" s="4" t="s">
        <v>167</v>
      </c>
      <c r="C108" s="3" t="s">
        <v>94</v>
      </c>
      <c r="D108" s="5">
        <v>20.0</v>
      </c>
      <c r="E108" s="5">
        <v>0.0</v>
      </c>
      <c r="F108" s="3" t="s">
        <v>68</v>
      </c>
      <c r="G108" s="6">
        <v>4000.0</v>
      </c>
      <c r="H108" s="6">
        <f>D108*G108</f>
        <v>80000.0</v>
      </c>
    </row>
    <row r="109" spans="8:8" ht="20.0" customHeight="1">
      <c r="A109" s="7">
        <v>106.0</v>
      </c>
      <c r="B109" s="8" t="s">
        <v>168</v>
      </c>
      <c r="C109" s="7" t="s">
        <v>106</v>
      </c>
      <c r="D109" s="9">
        <v>10.0</v>
      </c>
      <c r="E109" s="9">
        <v>0.0</v>
      </c>
      <c r="F109" s="7" t="s">
        <v>68</v>
      </c>
      <c r="G109" s="10">
        <v>3830.0</v>
      </c>
      <c r="H109" s="10">
        <f>D109*G109</f>
        <v>38300.0</v>
      </c>
    </row>
    <row r="110" spans="8:8" ht="20.0" customHeight="1">
      <c r="A110" s="3">
        <v>107.0</v>
      </c>
      <c r="B110" s="4" t="s">
        <v>169</v>
      </c>
      <c r="C110" s="3" t="s">
        <v>104</v>
      </c>
      <c r="D110" s="5">
        <v>1.0</v>
      </c>
      <c r="E110" s="5">
        <v>0.0</v>
      </c>
      <c r="F110" s="3" t="s">
        <v>68</v>
      </c>
      <c r="G110" s="6">
        <v>163000.0</v>
      </c>
      <c r="H110" s="6">
        <f>D110*G110</f>
        <v>163000.0</v>
      </c>
    </row>
    <row r="111" spans="8:8" ht="20.0" customHeight="1">
      <c r="A111" s="7">
        <v>108.0</v>
      </c>
      <c r="B111" s="8" t="s">
        <v>170</v>
      </c>
      <c r="C111" s="7" t="s">
        <v>91</v>
      </c>
      <c r="D111" s="9">
        <v>30.0</v>
      </c>
      <c r="E111" s="9">
        <v>0.0</v>
      </c>
      <c r="F111" s="7" t="s">
        <v>68</v>
      </c>
      <c r="G111" s="10">
        <v>1850.0</v>
      </c>
      <c r="H111" s="10">
        <f>D111*G111</f>
        <v>55500.0</v>
      </c>
    </row>
    <row r="112" spans="8:8" ht="20.0" customHeight="1">
      <c r="A112" s="3">
        <v>109.0</v>
      </c>
      <c r="B112" s="4" t="s">
        <v>171</v>
      </c>
      <c r="C112" s="3" t="s">
        <v>172</v>
      </c>
      <c r="D112" s="5">
        <v>30.0</v>
      </c>
      <c r="E112" s="5">
        <v>0.0</v>
      </c>
      <c r="F112" s="3" t="s">
        <v>68</v>
      </c>
      <c r="G112" s="6">
        <v>3300.0</v>
      </c>
      <c r="H112" s="6">
        <f>D112*G112</f>
        <v>99000.0</v>
      </c>
    </row>
    <row r="113" spans="8:8" ht="20.0" customHeight="1">
      <c r="A113" s="7">
        <v>110.0</v>
      </c>
      <c r="B113" s="8" t="s">
        <v>173</v>
      </c>
      <c r="C113" s="7" t="s">
        <v>174</v>
      </c>
      <c r="D113" s="9">
        <v>10.0</v>
      </c>
      <c r="E113" s="9">
        <v>0.0</v>
      </c>
      <c r="F113" s="7" t="s">
        <v>71</v>
      </c>
      <c r="G113" s="10">
        <v>37500.0</v>
      </c>
      <c r="H113" s="10">
        <f>D113*G113</f>
        <v>375000.0</v>
      </c>
    </row>
    <row r="114" spans="8:8" ht="20.0" customHeight="1">
      <c r="A114" s="3">
        <v>111.0</v>
      </c>
      <c r="B114" s="4" t="s">
        <v>175</v>
      </c>
      <c r="C114" s="3" t="s">
        <v>94</v>
      </c>
      <c r="D114" s="5">
        <v>10.0</v>
      </c>
      <c r="E114" s="5">
        <v>0.0</v>
      </c>
      <c r="F114" s="3" t="s">
        <v>71</v>
      </c>
      <c r="G114" s="6">
        <v>37500.0</v>
      </c>
      <c r="H114" s="6">
        <f>D114*G114</f>
        <v>375000.0</v>
      </c>
    </row>
    <row r="115" spans="8:8" ht="20.0" customHeight="1">
      <c r="A115" s="7">
        <v>112.0</v>
      </c>
      <c r="B115" s="8" t="s">
        <v>176</v>
      </c>
      <c r="C115" s="7" t="s">
        <v>177</v>
      </c>
      <c r="D115" s="9">
        <v>10.0</v>
      </c>
      <c r="E115" s="9">
        <v>0.0</v>
      </c>
      <c r="F115" s="7" t="s">
        <v>68</v>
      </c>
      <c r="G115" s="10">
        <v>3300.0</v>
      </c>
      <c r="H115" s="10">
        <f>D115*G115</f>
        <v>33000.0</v>
      </c>
    </row>
    <row r="116" spans="8:8" ht="20.0" customHeight="1">
      <c r="A116" s="3">
        <v>113.0</v>
      </c>
      <c r="B116" s="4" t="s">
        <v>178</v>
      </c>
      <c r="C116" s="3" t="s">
        <v>179</v>
      </c>
      <c r="D116" s="5">
        <v>10.0</v>
      </c>
      <c r="E116" s="5">
        <v>0.0</v>
      </c>
      <c r="F116" s="3" t="s">
        <v>71</v>
      </c>
      <c r="G116" s="6">
        <v>3500.0</v>
      </c>
      <c r="H116" s="6">
        <f>D116*G116</f>
        <v>35000.0</v>
      </c>
    </row>
    <row r="117" spans="8:8" ht="20.0" customHeight="1">
      <c r="A117" s="7">
        <v>114.0</v>
      </c>
      <c r="B117" s="8" t="s">
        <v>180</v>
      </c>
      <c r="C117" s="7" t="s">
        <v>172</v>
      </c>
      <c r="D117" s="9">
        <v>30.0</v>
      </c>
      <c r="E117" s="9">
        <v>0.0</v>
      </c>
      <c r="F117" s="7" t="s">
        <v>68</v>
      </c>
      <c r="G117" s="10">
        <v>10000.0</v>
      </c>
      <c r="H117" s="10">
        <f>D117*G117</f>
        <v>300000.0</v>
      </c>
    </row>
    <row r="118" spans="8:8" ht="20.0" customHeight="1">
      <c r="A118" s="3">
        <v>115.0</v>
      </c>
      <c r="B118" s="4" t="s">
        <v>181</v>
      </c>
      <c r="C118" s="3" t="s">
        <v>155</v>
      </c>
      <c r="D118" s="5">
        <v>30.0</v>
      </c>
      <c r="E118" s="5">
        <v>0.0</v>
      </c>
      <c r="F118" s="3" t="s">
        <v>68</v>
      </c>
      <c r="G118" s="6">
        <v>12000.0</v>
      </c>
      <c r="H118" s="6">
        <f>D118*G118</f>
        <v>360000.0</v>
      </c>
    </row>
    <row r="119" spans="8:8" ht="20.0" customHeight="1">
      <c r="A119" s="7">
        <v>116.0</v>
      </c>
      <c r="B119" s="8" t="s">
        <v>182</v>
      </c>
      <c r="C119" s="7" t="s">
        <v>183</v>
      </c>
      <c r="D119" s="9">
        <v>30.0</v>
      </c>
      <c r="E119" s="9">
        <v>0.0</v>
      </c>
      <c r="F119" s="7" t="s">
        <v>68</v>
      </c>
      <c r="G119" s="10">
        <v>2850.0</v>
      </c>
      <c r="H119" s="10">
        <f>D119*G119</f>
        <v>85500.0</v>
      </c>
    </row>
    <row r="120" spans="8:8" ht="20.0" customHeight="1">
      <c r="A120" s="3">
        <v>117.0</v>
      </c>
      <c r="B120" s="4" t="s">
        <v>184</v>
      </c>
      <c r="C120" s="3" t="s">
        <v>179</v>
      </c>
      <c r="D120" s="5">
        <v>30.0</v>
      </c>
      <c r="E120" s="5">
        <v>0.0</v>
      </c>
      <c r="F120" s="3" t="s">
        <v>68</v>
      </c>
      <c r="G120" s="6">
        <v>2850.0</v>
      </c>
      <c r="H120" s="6">
        <f>D120*G120</f>
        <v>85500.0</v>
      </c>
    </row>
    <row r="121" spans="8:8" ht="20.0" customHeight="1">
      <c r="A121" s="7">
        <v>118.0</v>
      </c>
      <c r="B121" s="8" t="s">
        <v>185</v>
      </c>
      <c r="C121" s="7" t="s">
        <v>177</v>
      </c>
      <c r="D121" s="9">
        <v>20.0</v>
      </c>
      <c r="E121" s="9">
        <v>0.0</v>
      </c>
      <c r="F121" s="7" t="s">
        <v>144</v>
      </c>
      <c r="G121" s="10">
        <v>1750.0</v>
      </c>
      <c r="H121" s="10">
        <f>D121*G121</f>
        <v>35000.0</v>
      </c>
    </row>
    <row r="122" spans="8:8" ht="20.0" customHeight="1">
      <c r="A122" s="3">
        <v>119.0</v>
      </c>
      <c r="B122" s="4" t="s">
        <v>186</v>
      </c>
      <c r="C122" s="3" t="s">
        <v>187</v>
      </c>
      <c r="D122" s="5">
        <v>15.0</v>
      </c>
      <c r="E122" s="5">
        <v>0.0</v>
      </c>
      <c r="F122" s="3" t="s">
        <v>68</v>
      </c>
      <c r="G122" s="6">
        <v>6800.0</v>
      </c>
      <c r="H122" s="6">
        <f>D122*G122</f>
        <v>102000.0</v>
      </c>
    </row>
    <row r="123" spans="8:8" ht="20.0" customHeight="1">
      <c r="A123" s="7">
        <v>120.0</v>
      </c>
      <c r="B123" s="8" t="s">
        <v>188</v>
      </c>
      <c r="C123" s="7" t="s">
        <v>111</v>
      </c>
      <c r="D123" s="9">
        <v>5.0</v>
      </c>
      <c r="E123" s="9">
        <v>0.0</v>
      </c>
      <c r="F123" s="7" t="s">
        <v>68</v>
      </c>
      <c r="G123" s="10">
        <v>4500.0</v>
      </c>
      <c r="H123" s="10">
        <f>D123*G123</f>
        <v>22500.0</v>
      </c>
    </row>
    <row r="124" spans="8:8" ht="20.0" customHeight="1">
      <c r="A124" s="3">
        <v>121.0</v>
      </c>
      <c r="B124" s="4" t="s">
        <v>189</v>
      </c>
      <c r="C124" s="3" t="s">
        <v>111</v>
      </c>
      <c r="D124" s="5">
        <v>5.0</v>
      </c>
      <c r="E124" s="5">
        <v>0.0</v>
      </c>
      <c r="F124" s="3" t="s">
        <v>68</v>
      </c>
      <c r="G124" s="6">
        <v>4500.0</v>
      </c>
      <c r="H124" s="6">
        <f>D124*G124</f>
        <v>22500.0</v>
      </c>
    </row>
    <row r="125" spans="8:8" ht="20.0" customHeight="1">
      <c r="A125" s="7">
        <v>122.0</v>
      </c>
      <c r="B125" s="8" t="s">
        <v>190</v>
      </c>
      <c r="C125" s="7" t="s">
        <v>191</v>
      </c>
      <c r="D125" s="9">
        <v>10.0</v>
      </c>
      <c r="E125" s="9">
        <v>0.0</v>
      </c>
      <c r="F125" s="7" t="s">
        <v>71</v>
      </c>
      <c r="G125" s="10">
        <v>2500.0</v>
      </c>
      <c r="H125" s="10">
        <f>D125*G125</f>
        <v>25000.0</v>
      </c>
    </row>
    <row r="126" spans="8:8" ht="20.0" customHeight="1">
      <c r="A126" s="3">
        <v>123.0</v>
      </c>
      <c r="B126" s="4" t="s">
        <v>192</v>
      </c>
      <c r="C126" s="3" t="s">
        <v>193</v>
      </c>
      <c r="D126" s="5">
        <v>20.0</v>
      </c>
      <c r="E126" s="5">
        <v>0.0</v>
      </c>
      <c r="F126" s="3" t="s">
        <v>68</v>
      </c>
      <c r="G126" s="6">
        <v>1850.0</v>
      </c>
      <c r="H126" s="6">
        <f>D126*G126</f>
        <v>37000.0</v>
      </c>
    </row>
    <row r="127" spans="8:8" ht="20.0" customHeight="1">
      <c r="A127" s="7">
        <v>124.0</v>
      </c>
      <c r="B127" s="8" t="s">
        <v>194</v>
      </c>
      <c r="C127" s="7" t="s">
        <v>98</v>
      </c>
      <c r="D127" s="9">
        <v>30.0</v>
      </c>
      <c r="E127" s="9">
        <v>0.0</v>
      </c>
      <c r="F127" s="7" t="s">
        <v>68</v>
      </c>
      <c r="G127" s="10">
        <v>4000.0</v>
      </c>
      <c r="H127" s="10">
        <f>D127*G127</f>
        <v>120000.0</v>
      </c>
    </row>
    <row r="128" spans="8:8" ht="20.0" customHeight="1">
      <c r="A128" s="3">
        <v>125.0</v>
      </c>
      <c r="B128" s="4" t="s">
        <v>195</v>
      </c>
      <c r="C128" s="3" t="s">
        <v>179</v>
      </c>
      <c r="D128" s="5">
        <v>30.0</v>
      </c>
      <c r="E128" s="5">
        <v>0.0</v>
      </c>
      <c r="F128" s="3" t="s">
        <v>68</v>
      </c>
      <c r="G128" s="6">
        <v>4850.0</v>
      </c>
      <c r="H128" s="6">
        <f>D128*G128</f>
        <v>145500.0</v>
      </c>
    </row>
    <row r="129" spans="8:8" ht="20.0" customHeight="1">
      <c r="A129" s="7">
        <v>126.0</v>
      </c>
      <c r="B129" s="8" t="s">
        <v>196</v>
      </c>
      <c r="C129" s="7" t="s">
        <v>197</v>
      </c>
      <c r="D129" s="9">
        <v>30.0</v>
      </c>
      <c r="E129" s="9">
        <v>0.0</v>
      </c>
      <c r="F129" s="7" t="s">
        <v>68</v>
      </c>
      <c r="G129" s="10">
        <v>4200.0</v>
      </c>
      <c r="H129" s="10">
        <f>D129*G129</f>
        <v>126000.0</v>
      </c>
    </row>
    <row r="130" spans="8:8" ht="20.0" customHeight="1">
      <c r="A130" s="3">
        <v>127.0</v>
      </c>
      <c r="B130" s="4" t="s">
        <v>198</v>
      </c>
      <c r="C130" s="3" t="s">
        <v>96</v>
      </c>
      <c r="D130" s="5">
        <v>1.0</v>
      </c>
      <c r="E130" s="5">
        <v>0.0</v>
      </c>
      <c r="F130" s="3" t="s">
        <v>83</v>
      </c>
      <c r="G130" s="6">
        <v>36000.0</v>
      </c>
      <c r="H130" s="6">
        <f>D130*G130</f>
        <v>36000.0</v>
      </c>
    </row>
    <row r="131" spans="8:8" ht="20.0" customHeight="1">
      <c r="A131" s="7">
        <v>128.0</v>
      </c>
      <c r="B131" s="8" t="s">
        <v>199</v>
      </c>
      <c r="C131" s="7" t="s">
        <v>87</v>
      </c>
      <c r="D131" s="9">
        <v>10.0</v>
      </c>
      <c r="E131" s="9">
        <v>0.0</v>
      </c>
      <c r="F131" s="7" t="s">
        <v>83</v>
      </c>
      <c r="G131" s="10">
        <v>2500.0</v>
      </c>
      <c r="H131" s="10">
        <f>D131*G131</f>
        <v>25000.0</v>
      </c>
    </row>
    <row r="132" spans="8:8" ht="20.0" customHeight="1">
      <c r="A132" s="3">
        <v>129.0</v>
      </c>
      <c r="B132" s="4" t="s">
        <v>200</v>
      </c>
      <c r="C132" s="3" t="s">
        <v>104</v>
      </c>
      <c r="D132" s="5">
        <v>1.0</v>
      </c>
      <c r="E132" s="5">
        <v>0.0</v>
      </c>
      <c r="F132" s="3" t="s">
        <v>83</v>
      </c>
      <c r="G132" s="6">
        <v>36000.0</v>
      </c>
      <c r="H132" s="6">
        <f>D132*G132</f>
        <v>36000.0</v>
      </c>
    </row>
    <row r="133" spans="8:8" ht="20.0" customHeight="1">
      <c r="A133" s="7">
        <v>130.0</v>
      </c>
      <c r="B133" s="8" t="s">
        <v>201</v>
      </c>
      <c r="C133" s="7" t="s">
        <v>202</v>
      </c>
      <c r="D133" s="9">
        <v>1.0</v>
      </c>
      <c r="E133" s="9">
        <v>0.0</v>
      </c>
      <c r="F133" s="7" t="s">
        <v>83</v>
      </c>
      <c r="G133" s="10">
        <v>25000.0</v>
      </c>
      <c r="H133" s="10">
        <f>D133*G133</f>
        <v>25000.0</v>
      </c>
    </row>
    <row r="134" spans="8:8" ht="20.0" customHeight="1">
      <c r="A134" s="3">
        <v>131.0</v>
      </c>
      <c r="B134" s="4" t="s">
        <v>203</v>
      </c>
      <c r="C134" s="3" t="s">
        <v>75</v>
      </c>
      <c r="D134" s="5">
        <v>1.0</v>
      </c>
      <c r="E134" s="5">
        <v>0.0</v>
      </c>
      <c r="F134" s="3" t="s">
        <v>68</v>
      </c>
      <c r="G134" s="6">
        <v>3500.0</v>
      </c>
      <c r="H134" s="6">
        <f>D134*G134</f>
        <v>3500.0</v>
      </c>
    </row>
    <row r="135" spans="8:8" ht="20.0" customHeight="1">
      <c r="A135" s="7">
        <v>132.0</v>
      </c>
      <c r="B135" s="8" t="s">
        <v>204</v>
      </c>
      <c r="C135" s="7" t="s">
        <v>87</v>
      </c>
      <c r="D135" s="9">
        <v>5.0</v>
      </c>
      <c r="E135" s="9">
        <v>0.0</v>
      </c>
      <c r="F135" s="7" t="s">
        <v>68</v>
      </c>
      <c r="G135" s="10">
        <v>12000.0</v>
      </c>
      <c r="H135" s="10">
        <f>D135*G135</f>
        <v>60000.0</v>
      </c>
    </row>
    <row r="136" spans="8:8" ht="20.0" customHeight="1">
      <c r="A136" s="3">
        <v>133.0</v>
      </c>
      <c r="B136" s="4" t="s">
        <v>205</v>
      </c>
      <c r="C136" s="3" t="s">
        <v>155</v>
      </c>
      <c r="D136" s="5">
        <v>20.0</v>
      </c>
      <c r="E136" s="5">
        <v>0.0</v>
      </c>
      <c r="F136" s="3" t="s">
        <v>68</v>
      </c>
      <c r="G136" s="6">
        <v>3500.0</v>
      </c>
      <c r="H136" s="6">
        <f>D136*G136</f>
        <v>70000.0</v>
      </c>
    </row>
    <row r="137" spans="8:8" ht="20.0" customHeight="1">
      <c r="A137" s="7">
        <v>134.0</v>
      </c>
      <c r="B137" s="8" t="s">
        <v>206</v>
      </c>
      <c r="C137" s="7" t="s">
        <v>98</v>
      </c>
      <c r="D137" s="9">
        <v>20.0</v>
      </c>
      <c r="E137" s="9">
        <v>0.0</v>
      </c>
      <c r="F137" s="7" t="s">
        <v>68</v>
      </c>
      <c r="G137" s="10">
        <v>3200.0</v>
      </c>
      <c r="H137" s="10">
        <f>D137*G137</f>
        <v>64000.0</v>
      </c>
    </row>
    <row r="138" spans="8:8" ht="20.0" customHeight="1">
      <c r="A138" s="3">
        <v>135.0</v>
      </c>
      <c r="B138" s="4" t="s">
        <v>207</v>
      </c>
      <c r="C138" s="3" t="s">
        <v>208</v>
      </c>
      <c r="D138" s="5">
        <v>10.0</v>
      </c>
      <c r="E138" s="5">
        <v>0.0</v>
      </c>
      <c r="F138" s="3" t="s">
        <v>68</v>
      </c>
      <c r="G138" s="6">
        <v>8700.0</v>
      </c>
      <c r="H138" s="6">
        <f>D138*G138</f>
        <v>87000.0</v>
      </c>
    </row>
    <row r="139" spans="8:8" ht="20.0" customHeight="1">
      <c r="A139" s="7">
        <v>136.0</v>
      </c>
      <c r="B139" s="8" t="s">
        <v>209</v>
      </c>
      <c r="C139" s="7" t="s">
        <v>208</v>
      </c>
      <c r="D139" s="9">
        <v>10.0</v>
      </c>
      <c r="E139" s="9">
        <v>0.0</v>
      </c>
      <c r="F139" s="7" t="s">
        <v>68</v>
      </c>
      <c r="G139" s="10">
        <v>7200.0</v>
      </c>
      <c r="H139" s="10">
        <f>D139*G139</f>
        <v>72000.0</v>
      </c>
    </row>
    <row r="140" spans="8:8" ht="20.0" customHeight="1">
      <c r="A140" s="3">
        <v>137.0</v>
      </c>
      <c r="B140" s="4" t="s">
        <v>210</v>
      </c>
      <c r="C140" s="3" t="s">
        <v>104</v>
      </c>
      <c r="D140" s="5">
        <v>3.0</v>
      </c>
      <c r="E140" s="5">
        <v>0.0</v>
      </c>
      <c r="F140" s="3" t="s">
        <v>68</v>
      </c>
      <c r="G140" s="6">
        <v>8500.0</v>
      </c>
      <c r="H140" s="6">
        <f>D140*G140</f>
        <v>25500.0</v>
      </c>
    </row>
    <row r="141" spans="8:8" ht="20.0" customHeight="1">
      <c r="A141" s="7">
        <v>138.0</v>
      </c>
      <c r="B141" s="8" t="s">
        <v>211</v>
      </c>
      <c r="C141" s="7" t="s">
        <v>77</v>
      </c>
      <c r="D141" s="9">
        <v>10.0</v>
      </c>
      <c r="E141" s="9">
        <v>0.0</v>
      </c>
      <c r="F141" s="7" t="s">
        <v>68</v>
      </c>
      <c r="G141" s="10">
        <v>8800.0</v>
      </c>
      <c r="H141" s="10">
        <f>D141*G141</f>
        <v>88000.0</v>
      </c>
    </row>
    <row r="142" spans="8:8" ht="25.0" customHeight="1">
      <c r="A142" s="11"/>
      <c r="B142" s="12" t="s">
        <v>212</v>
      </c>
      <c r="C142" s="11"/>
      <c r="D142" s="13">
        <f>SUM(D4:D141)</f>
        <v>1963.0</v>
      </c>
      <c r="E142" s="11"/>
      <c r="F142" s="11"/>
      <c r="G142" s="11"/>
      <c r="H142" s="14">
        <f>SUM(H4:H141)</f>
        <v>1.3593995E7</v>
      </c>
    </row>
  </sheetData>
  <mergeCells count="1">
    <mergeCell ref="A1:H1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2026-06-30T08:46:15Z</dcterms:created>
  <dcterms:modified xsi:type="dcterms:W3CDTF">2026-06-30T10:47:21Z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475ac923e81c43f5b0d8744c4ee5f9e3</vt:lpwstr>
  </property>
</Properties>
</file>